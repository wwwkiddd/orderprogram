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<sst xmlns="http://schemas.openxmlformats.org/spreadsheetml/2006/main" xmlns:a="http://schemas.openxmlformats.org/drawingml/2006/main" xmlns:a15="http://schemas.microsoft.com/office/drawing/2012/main" xmlns:asvg="http://schemas.microsoft.com/office/drawing/2016/SVG/main" xmlns:c="http://schemas.openxmlformats.org/drawingml/2006/chart" xmlns:co="http://ncloudtech.com" xmlns:co-ooxml="http://ncloudtech.com/ooxml" xmlns:m="http://schemas.openxmlformats.org/officeDocument/2006/math" xmlns:mc="http://schemas.openxmlformats.org/markup-compatibility/2006" xmlns:o="urn:schemas-microsoft-com:office:office" xmlns:p="http://schemas.openxmlformats.org/presentationml/2006/main" xmlns:pic="http://schemas.openxmlformats.org/drawingml/2006/picture" xmlns:r="http://schemas.openxmlformats.org/officeDocument/2006/relationships" xmlns:s="http://schemas.openxmlformats.org/officeDocument/2006/sharedTypes" xmlns:sl="http://schemas.openxmlformats.org/schemaLibrary/2006/main" xmlns:v="urn:schemas-microsoft-com:vml" xmlns:w="http://schemas.openxmlformats.org/wordprocessingml/2006/main" xmlns:w10="urn:schemas-microsoft-com:office:word" xmlns:w14="http://schemas.microsoft.com/office/word/2010/wordml" xmlns:w15="http://schemas.microsoft.com/office/word/2012/wordml" xmlns:wp="http://schemas.openxmlformats.org/drawingml/2006/wordprocessingDrawing" xmlns:wpg="http://schemas.microsoft.com/office/word/2010/wordprocessingGroup" xmlns:wps="http://schemas.microsoft.com/office/word/2010/wordprocessingShape" xmlns:x="urn:schemas-microsoft-com:office:excel" xmlns:x14="http://schemas.microsoft.com/office/spreadsheetml/2009/9/main" xmlns:xdr="http://schemas.openxmlformats.org/drawingml/2006/spreadsheetDrawing" xmlns:xm="http://schemas.microsoft.com/office/excel/2006/main" mc:Ignorable="co co-ooxml w14 x14 w15">
  <si>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Грузовой</t>
  </si>
  <si>
    <t>Легковой</t>
  </si>
  <si>
    <t>Спецтехника</t>
  </si>
  <si>
    <t>Тип колёс</t>
  </si>
  <si>
    <t>Газели и малые груз.</t>
  </si>
  <si>
    <t xml:space="preserve"> 16 С Бычок, фотон</t>
  </si>
  <si>
    <t xml:space="preserve"> 16 С кольцом</t>
  </si>
  <si>
    <t>19-22,5</t>
  </si>
  <si>
    <t>20 с кольцом</t>
  </si>
  <si>
    <t>Вездеходы</t>
  </si>
  <si>
    <t>R12</t>
  </si>
  <si>
    <t>R13</t>
  </si>
  <si>
    <t>R14</t>
  </si>
  <si>
    <t>R15</t>
  </si>
  <si>
    <t>R16</t>
  </si>
  <si>
    <t>R17-18</t>
  </si>
  <si>
    <t>R19-20</t>
  </si>
  <si>
    <t>R21-23</t>
  </si>
  <si>
    <t>R24-26</t>
  </si>
  <si>
    <r>
      <rPr>
        <b val="false"/>
        <sz val="14"/>
      </rPr>
      <t>16/70-20</t>
    </r>
    <r>
      <t xml:space="preserve">
</t>
    </r>
    <r>
      <rPr>
        <b val="false"/>
        <sz val="14"/>
      </rPr>
      <t>12.5/80-18</t>
    </r>
  </si>
  <si>
    <r>
      <rPr>
        <b val="false"/>
        <sz val="14"/>
      </rPr>
      <t>16.9-24</t>
    </r>
    <r>
      <t xml:space="preserve">
</t>
    </r>
    <r>
      <rPr>
        <b val="false"/>
        <sz val="14"/>
      </rPr>
      <t>16.9-28</t>
    </r>
  </si>
  <si>
    <r>
      <rPr>
        <b val="false"/>
        <sz val="14"/>
      </rPr>
      <t>17.5-25</t>
    </r>
    <r>
      <t xml:space="preserve">
</t>
    </r>
    <r>
      <rPr>
        <b val="false"/>
        <sz val="14"/>
      </rPr>
      <t>20.5-25</t>
    </r>
  </si>
  <si>
    <r>
      <rPr>
        <b val="false"/>
        <sz val="14"/>
      </rPr>
      <t>23.5-25</t>
    </r>
  </si>
  <si>
    <r>
      <rPr>
        <rFont val="XO Thames"/>
        <sz val="11"/>
      </rPr>
      <t>Снятие, установка наружное/внутреннее</t>
    </r>
  </si>
  <si>
    <r>
      <rPr>
        <rFont val="XO Thames"/>
        <sz val="11"/>
      </rPr>
      <t>156</t>
    </r>
    <r>
      <rPr>
        <rFont val="XO Thames"/>
        <sz val="11"/>
      </rPr>
      <t>/</t>
    </r>
    <r>
      <rPr>
        <rFont val="XO Thames"/>
        <sz val="11"/>
      </rPr>
      <t>192</t>
    </r>
  </si>
  <si>
    <r>
      <rPr>
        <rFont val="XO Thames"/>
        <sz val="11"/>
      </rPr>
      <t>252/</t>
    </r>
    <r>
      <rPr>
        <rFont val="XO Thames"/>
        <sz val="11"/>
      </rPr>
      <t>288</t>
    </r>
  </si>
  <si>
    <r>
      <rPr>
        <rFont val="XO Thames"/>
        <sz val="11"/>
      </rPr>
      <t>2</t>
    </r>
    <r>
      <rPr>
        <rFont val="XO Thames"/>
        <sz val="11"/>
      </rPr>
      <t>88</t>
    </r>
    <r>
      <rPr>
        <rFont val="XO Thames"/>
        <sz val="11"/>
      </rPr>
      <t>/336</t>
    </r>
  </si>
  <si>
    <r>
      <rPr>
        <rFont val="XO Thames"/>
        <sz val="11"/>
      </rPr>
      <t>420</t>
    </r>
    <r>
      <rPr>
        <rFont val="XO Thames"/>
        <sz val="11"/>
      </rPr>
      <t>/</t>
    </r>
    <r>
      <rPr>
        <rFont val="XO Thames"/>
        <sz val="11"/>
      </rPr>
      <t>480</t>
    </r>
  </si>
  <si>
    <r>
      <rPr>
        <rFont val="XO Thames"/>
        <sz val="11"/>
      </rPr>
      <t>480</t>
    </r>
    <r>
      <rPr>
        <rFont val="XO Thames"/>
        <sz val="11"/>
      </rPr>
      <t>/</t>
    </r>
    <r>
      <rPr>
        <rFont val="XO Thames"/>
        <sz val="11"/>
      </rPr>
      <t>576</t>
    </r>
  </si>
  <si>
    <r>
      <rPr>
        <rFont val="XO Thames"/>
        <sz val="11"/>
      </rPr>
      <t>Разбортовка</t>
    </r>
  </si>
  <si>
    <r>
      <rPr>
        <rFont val="XO Thames"/>
        <sz val="11"/>
      </rPr>
      <t>Забортовка</t>
    </r>
  </si>
  <si>
    <r>
      <rPr>
        <rFont val="XO Thames"/>
        <sz val="11"/>
      </rPr>
      <t>Балансировка</t>
    </r>
  </si>
  <si>
    <r>
      <rPr>
        <rFont val="XO Thames"/>
        <sz val="11"/>
      </rPr>
      <t>Установка камеры</t>
    </r>
  </si>
  <si>
    <r>
      <rPr>
        <rFont val="XO Thames"/>
        <sz val="11"/>
      </rPr>
      <t>Ремонт камеры</t>
    </r>
  </si>
  <si>
    <r>
      <rPr>
        <rFont val="XO Thames"/>
        <sz val="11"/>
      </rPr>
      <t>Герметик</t>
    </r>
  </si>
  <si>
    <r>
      <rPr>
        <rFont val="XO Thames"/>
        <sz val="11"/>
      </rPr>
      <t>Снятие запасного колеса</t>
    </r>
  </si>
  <si>
    <t>Вулканизация камеры</t>
  </si>
  <si>
    <r>
      <rPr>
        <rFont val="XO Thames"/>
        <sz val="11"/>
      </rPr>
      <t>Вентиль грузовой</t>
    </r>
  </si>
  <si>
    <r>
      <rPr>
        <rFont val="XO Thames"/>
        <sz val="11"/>
      </rPr>
      <t>Вентиль ремонтный</t>
    </r>
  </si>
  <si>
    <r>
      <rPr>
        <rFont val="XO Thames"/>
        <sz val="11"/>
      </rPr>
      <t>Вентиль легковой (хром/черный)</t>
    </r>
  </si>
  <si>
    <t>96/72</t>
  </si>
  <si>
    <r>
      <rPr>
        <rFont val="XO Thames"/>
        <sz val="12"/>
      </rPr>
      <t>96/72</t>
    </r>
  </si>
  <si>
    <r>
      <rPr>
        <rFont val="XO Thames"/>
        <sz val="11"/>
      </rPr>
      <t>Пластырь №</t>
    </r>
  </si>
  <si>
    <t>Грибок</t>
  </si>
  <si>
    <t>Грузики</t>
  </si>
  <si>
    <t xml:space="preserve">Удлинитель </t>
  </si>
  <si>
    <t>Установка вентиля</t>
  </si>
  <si>
    <t>Флипер</t>
  </si>
  <si>
    <t>Утилизация</t>
  </si>
  <si>
    <t>Камера</t>
  </si>
  <si>
    <t>Подкачка</t>
  </si>
  <si>
    <t>Жгут</t>
  </si>
  <si>
    <t>Разгрузка и погрузка колеса</t>
  </si>
  <si>
    <r>
      <t xml:space="preserve">Нарезка протектора </t>
    </r>
    <r>
      <rPr>
        <rFont val="XO Thames"/>
        <sz val="11"/>
      </rPr>
      <t>одна дорожка</t>
    </r>
    <r>
      <t xml:space="preserve">
</t>
    </r>
  </si>
  <si>
    <t>Протяжка колёс</t>
  </si>
  <si>
    <r>
      <rPr>
        <rFont val="XO Thames"/>
        <sz val="11"/>
      </rPr>
      <t>Проверка на герметичность</t>
    </r>
  </si>
  <si>
    <t>Мойка колёс</t>
  </si>
  <si>
    <t>Косметическая варка</t>
  </si>
  <si>
    <t>Срочность</t>
  </si>
  <si>
    <t xml:space="preserve">Упаковочный пакет </t>
  </si>
  <si>
    <t>Прокат домкрата</t>
  </si>
  <si>
    <t>Ремонт покрышки</t>
  </si>
  <si>
    <t>Подкачка колёс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</si>
</sst>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5">
    <font>
      <name val="Calibri"/>
      <sz val="11"/>
    </font>
    <font>
      <name val="XO Thames"/>
      <sz val="12"/>
    </font>
    <font>
      <name val="XO Thames"/>
      <sz val="11"/>
    </font>
    <font>
      <b val="false"/>
      <sz val="14"/>
    </font>
    <font>
      <name val="XO Thames"/>
      <b val="fals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1">
    <xf applyFont="true" borderId="0" fillId="0" fontId="1" quotePrefix="false"/>
    <xf applyAlignment="true" applyFont="true" borderId="0" fillId="0" fontId="2" quotePrefix="false">
      <alignment horizontal="center" vertical="center" wrapText="true"/>
    </xf>
    <xf applyAlignment="true" applyFont="true" borderId="0" fillId="0" fontId="1" quotePrefix="false">
      <alignment horizontal="center" vertical="center"/>
    </xf>
    <xf applyAlignment="true" applyFont="true" borderId="0" fillId="0" fontId="1" quotePrefix="false">
      <alignment horizontal="center"/>
    </xf>
    <xf applyAlignment="true" applyFont="true" borderId="0" fillId="0" fontId="0" quotePrefix="false">
      <alignment horizontal="center" vertical="center"/>
    </xf>
    <xf applyAlignment="true" applyFont="true" borderId="0" fillId="0" fontId="3" quotePrefix="false">
      <alignment horizontal="center"/>
    </xf>
    <xf applyAlignment="true" applyFont="true" borderId="0" fillId="0" fontId="3" quotePrefix="false">
      <alignment horizontal="center" vertical="center"/>
    </xf>
    <xf applyAlignment="true" applyFont="true" borderId="0" fillId="0" fontId="2" quotePrefix="false">
      <alignment horizontal="center" vertical="center"/>
    </xf>
    <xf applyFont="true" borderId="0" fillId="0" fontId="1" quotePrefix="false"/>
    <xf applyAlignment="true" applyFont="true" borderId="0" fillId="0" fontId="1" quotePrefix="false">
      <alignment horizontal="center" vertical="bottom"/>
    </xf>
    <xf applyAlignment="true" applyFont="true" borderId="0" fillId="0" fontId="4" quotePrefix="false">
      <alignment horizontal="center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D35"/>
  <sheetViews>
    <sheetView showZeros="true" workbookViewId="0"/>
  </sheetViews>
  <sheetFormatPr baseColWidth="8" customHeight="false" defaultColWidth="10.7884703773945" defaultRowHeight="15" zeroHeight="false"/>
  <cols>
    <col customWidth="true" hidden="false" max="1" min="1" outlineLevel="0" style="1" width="31.7161905738235"/>
    <col customWidth="true" hidden="false" max="2" min="2" outlineLevel="0" style="2" width="24.5853677681246"/>
    <col customWidth="true" hidden="false" max="3" min="3" outlineLevel="0" style="2" width="22.0310450393117"/>
    <col customWidth="true" hidden="false" max="4" min="4" outlineLevel="0" style="2" width="20.9667434511965"/>
    <col customWidth="true" hidden="false" max="5" min="5" outlineLevel="0" style="2" width="17.9866957564833"/>
    <col customWidth="true" hidden="false" max="6" min="6" outlineLevel="0" style="2" width="18.7317144468088"/>
    <col customWidth="true" hidden="false" max="7" min="7" outlineLevel="0" style="2" width="17.7738386868509"/>
    <col customWidth="true" hidden="false" max="8" min="8" outlineLevel="0" style="2" width="18.8381402749661"/>
    <col bestFit="true" customWidth="true" max="11" min="9" outlineLevel="0" style="3" width="10.7884703773945"/>
    <col bestFit="true" customWidth="true" max="19" min="12" outlineLevel="0" style="0" width="10.7884703773945"/>
    <col customWidth="true" hidden="false" max="20" min="20" outlineLevel="0" style="0" width="15.6417818138573"/>
    <col customWidth="true" hidden="false" max="21" min="21" outlineLevel="0" style="0" width="19.3703018956593"/>
    <col customWidth="true" max="22" min="22" outlineLevel="0" style="0" width="16.6031004439428"/>
    <col customWidth="true" hidden="false" max="23" min="23" outlineLevel="0" style="0" width="16.6031004439428"/>
    <col bestFit="true" customWidth="true" max="16384" min="24" outlineLevel="0" style="0" width="10.7884703773945"/>
  </cols>
  <sheetData>
    <row customHeight="true" hidden="false" ht="21.6000022888184" outlineLevel="0" r="1">
      <c r="A1" s="1" t="n"/>
      <c r="B1" s="2" t="s">
        <v>0</v>
      </c>
      <c r="C1" s="2" t="s"/>
      <c r="D1" s="2" t="s"/>
      <c r="E1" s="2" t="s"/>
      <c r="F1" s="2" t="s"/>
      <c r="G1" s="2" t="s"/>
      <c r="H1" s="2" t="s"/>
      <c r="J1" s="3" t="s">
        <v>1</v>
      </c>
      <c r="K1" s="3" t="s"/>
      <c r="L1" s="3" t="s"/>
      <c r="M1" s="3" t="s"/>
      <c r="N1" s="3" t="s"/>
      <c r="O1" s="3" t="s"/>
      <c r="P1" s="3" t="s"/>
      <c r="Q1" s="3" t="s"/>
      <c r="R1" s="3" t="s"/>
      <c r="T1" s="3" t="s">
        <v>2</v>
      </c>
      <c r="U1" s="3" t="s"/>
      <c r="V1" s="3" t="s"/>
      <c r="W1" s="3" t="s"/>
    </row>
    <row outlineLevel="0" r="2">
      <c r="A2" s="1" t="s">
        <v>3</v>
      </c>
      <c r="B2" s="2" t="s">
        <v>4</v>
      </c>
      <c r="C2" s="4" t="s">
        <v>5</v>
      </c>
      <c r="D2" s="2" t="s">
        <v>6</v>
      </c>
      <c r="E2" s="2" t="n">
        <v>17.5</v>
      </c>
      <c r="F2" s="2" t="s">
        <v>7</v>
      </c>
      <c r="G2" s="2" t="s">
        <v>8</v>
      </c>
      <c r="H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T2" s="5" t="s">
        <v>19</v>
      </c>
      <c r="U2" s="5" t="s">
        <v>20</v>
      </c>
      <c r="V2" s="5" t="s">
        <v>21</v>
      </c>
      <c r="W2" s="6" t="s">
        <v>22</v>
      </c>
    </row>
    <row customHeight="true" hidden="false" ht="24.6000022888184" outlineLevel="0" r="3">
      <c r="A3" s="1" t="s">
        <v>23</v>
      </c>
      <c r="B3" s="7" t="s">
        <v>24</v>
      </c>
      <c r="C3" s="2" t="n">
        <v>252</v>
      </c>
      <c r="D3" s="7" t="s">
        <v>25</v>
      </c>
      <c r="E3" s="7" t="s">
        <v>26</v>
      </c>
      <c r="F3" s="7" t="s">
        <v>27</v>
      </c>
      <c r="G3" s="7" t="s">
        <v>28</v>
      </c>
      <c r="H3" s="2" t="n">
        <f aca="false" ca="false" dt2D="false" dtr="false" t="normal">520*1.2</f>
        <v>624</v>
      </c>
      <c r="J3" s="3" t="n">
        <f aca="false" ca="false" dt2D="false" dtr="false" t="normal">65*1.2</f>
        <v>78</v>
      </c>
      <c r="K3" s="3" t="n">
        <f aca="false" ca="false" dt2D="false" dtr="false" t="normal">70*1.2</f>
        <v>84</v>
      </c>
      <c r="L3" s="3" t="n">
        <f aca="false" ca="false" dt2D="false" dtr="false" t="normal">70*1.2</f>
        <v>84</v>
      </c>
      <c r="M3" s="0" t="n">
        <f aca="false" ca="false" dt2D="false" dtr="false" t="normal">90*1.2</f>
        <v>108</v>
      </c>
      <c r="N3" s="0" t="n">
        <f aca="false" ca="false" dt2D="false" dtr="false" t="normal">115*1.2</f>
        <v>138</v>
      </c>
      <c r="O3" s="0" t="n">
        <f aca="false" ca="false" dt2D="false" dtr="false" t="normal">130*1.2</f>
        <v>156</v>
      </c>
      <c r="P3" s="0" t="n">
        <f aca="false" ca="false" dt2D="false" dtr="false" t="normal">150*1.2</f>
        <v>180</v>
      </c>
      <c r="Q3" s="0" t="n">
        <f aca="false" ca="false" dt2D="false" dtr="false" t="normal">170*1.2</f>
        <v>204</v>
      </c>
      <c r="R3" s="0" t="n">
        <f aca="false" ca="false" dt2D="false" dtr="false" t="normal">230*1.2</f>
        <v>276</v>
      </c>
      <c r="T3" s="8" t="n">
        <v>420</v>
      </c>
      <c r="U3" s="8" t="n">
        <v>480</v>
      </c>
      <c r="V3" s="8" t="n">
        <v>660</v>
      </c>
      <c r="W3" s="8" t="n">
        <v>960</v>
      </c>
    </row>
    <row customHeight="true" hidden="false" ht="23.4000015258789" outlineLevel="0" r="4">
      <c r="A4" s="1" t="s">
        <v>29</v>
      </c>
      <c r="B4" s="2" t="n">
        <f aca="false" ca="false" dt2D="false" dtr="false" t="normal">130*1.2</f>
        <v>156</v>
      </c>
      <c r="C4" s="2" t="n">
        <f aca="false" ca="false" dt2D="false" dtr="false" t="normal">210*1.2</f>
        <v>252</v>
      </c>
      <c r="D4" s="2" t="n">
        <f aca="false" ca="false" dt2D="false" dtr="false" t="normal">240*1.2</f>
        <v>288</v>
      </c>
      <c r="E4" s="2" t="n">
        <f aca="false" ca="false" dt2D="false" dtr="false" t="normal">240*1.2</f>
        <v>288</v>
      </c>
      <c r="F4" s="2" t="n">
        <f aca="false" ca="false" dt2D="false" dtr="false" t="normal">320*1.2</f>
        <v>384</v>
      </c>
      <c r="G4" s="2" t="n">
        <f aca="false" ca="false" dt2D="false" dtr="false" t="normal">400*1.2</f>
        <v>480</v>
      </c>
      <c r="H4" s="2" t="n">
        <f aca="false" ca="false" dt2D="false" dtr="false" t="normal">580*1.2</f>
        <v>696</v>
      </c>
      <c r="J4" s="3" t="n">
        <f aca="false" ca="false" dt2D="false" dtr="false" t="normal">65*1.2</f>
        <v>78</v>
      </c>
      <c r="K4" s="3" t="n">
        <f aca="false" ca="false" dt2D="false" dtr="false" t="normal">70*1.2</f>
        <v>84</v>
      </c>
      <c r="L4" s="3" t="n">
        <f aca="false" ca="false" dt2D="false" dtr="false" t="normal">70*1.2</f>
        <v>84</v>
      </c>
      <c r="M4" s="0" t="n">
        <f aca="false" ca="false" dt2D="false" dtr="false" t="normal">90*1.2</f>
        <v>108</v>
      </c>
      <c r="N4" s="0" t="n">
        <f aca="false" ca="false" dt2D="false" dtr="false" t="normal">90*1.2</f>
        <v>108</v>
      </c>
      <c r="O4" s="0" t="n">
        <f aca="false" ca="false" dt2D="false" dtr="false" t="normal">130*1.2</f>
        <v>156</v>
      </c>
      <c r="P4" s="0" t="n">
        <f aca="false" ca="false" dt2D="false" dtr="false" t="normal">150*1.2</f>
        <v>180</v>
      </c>
      <c r="Q4" s="0" t="n">
        <f aca="false" ca="false" dt2D="false" dtr="false" t="normal">170*1.2</f>
        <v>204</v>
      </c>
      <c r="R4" s="0" t="n">
        <f aca="false" ca="false" dt2D="false" dtr="false" t="normal">230*1.2</f>
        <v>276</v>
      </c>
      <c r="T4" s="0" t="n">
        <v>630</v>
      </c>
      <c r="U4" s="0" t="n">
        <v>700</v>
      </c>
      <c r="V4" s="0" t="n">
        <v>960</v>
      </c>
      <c r="W4" s="0" t="n">
        <v>1980</v>
      </c>
    </row>
    <row customHeight="true" hidden="false" ht="18" outlineLevel="0" r="5">
      <c r="A5" s="1" t="s">
        <v>30</v>
      </c>
      <c r="B5" s="2" t="n">
        <f aca="false" ca="false" dt2D="false" dtr="false" t="normal">130*1.2</f>
        <v>156</v>
      </c>
      <c r="C5" s="2" t="n">
        <f aca="false" ca="false" dt2D="false" dtr="false" t="normal">210*1.2</f>
        <v>252</v>
      </c>
      <c r="D5" s="2" t="n">
        <f aca="false" ca="false" dt2D="false" dtr="false" t="normal">240*1.2</f>
        <v>288</v>
      </c>
      <c r="E5" s="2" t="n">
        <f aca="false" ca="false" dt2D="false" dtr="false" t="normal">240*1.2</f>
        <v>288</v>
      </c>
      <c r="F5" s="2" t="n">
        <f aca="false" ca="false" dt2D="false" dtr="false" t="normal">320*1.2</f>
        <v>384</v>
      </c>
      <c r="G5" s="2" t="n">
        <f aca="false" ca="false" dt2D="false" dtr="false" t="normal">400*1.2</f>
        <v>480</v>
      </c>
      <c r="H5" s="2" t="n">
        <f aca="false" ca="false" dt2D="false" dtr="false" t="normal">580*1.2</f>
        <v>696</v>
      </c>
      <c r="J5" s="3" t="n">
        <f aca="false" ca="false" dt2D="false" dtr="false" t="normal">65*1.2</f>
        <v>78</v>
      </c>
      <c r="K5" s="3" t="n">
        <f aca="false" ca="false" dt2D="false" dtr="false" t="normal">70*1.2</f>
        <v>84</v>
      </c>
      <c r="L5" s="3" t="n">
        <f aca="false" ca="false" dt2D="false" dtr="false" t="normal">70*1.2</f>
        <v>84</v>
      </c>
      <c r="M5" s="0" t="n">
        <f aca="false" ca="false" dt2D="false" dtr="false" t="normal">90*1.2</f>
        <v>108</v>
      </c>
      <c r="N5" s="0" t="n">
        <f aca="false" ca="false" dt2D="false" dtr="false" t="normal">115*1.2</f>
        <v>138</v>
      </c>
      <c r="O5" s="0" t="n">
        <f aca="false" ca="false" dt2D="false" dtr="false" t="normal">130*1.2</f>
        <v>156</v>
      </c>
      <c r="P5" s="0" t="n">
        <f aca="false" ca="false" dt2D="false" dtr="false" t="normal">150*1.2</f>
        <v>180</v>
      </c>
      <c r="Q5" s="0" t="n">
        <f aca="false" ca="false" dt2D="false" dtr="false" t="normal">170*1.2</f>
        <v>204</v>
      </c>
      <c r="R5" s="0" t="n">
        <f aca="false" ca="false" dt2D="false" dtr="false" t="normal">230*1.2</f>
        <v>276</v>
      </c>
      <c r="T5" s="0" t="n">
        <v>630</v>
      </c>
      <c r="U5" s="0" t="n">
        <v>700</v>
      </c>
      <c r="V5" s="0" t="n">
        <v>960</v>
      </c>
      <c r="W5" s="0" t="n">
        <v>1980</v>
      </c>
    </row>
    <row customHeight="true" hidden="false" ht="22.8000030517578" outlineLevel="0" r="6">
      <c r="A6" s="1" t="s">
        <v>31</v>
      </c>
      <c r="B6" s="2" t="n">
        <f aca="false" ca="false" dt2D="false" dtr="false" t="normal">150*1.2</f>
        <v>180</v>
      </c>
      <c r="C6" s="2" t="n">
        <f aca="false" ca="false" dt2D="false" dtr="false" t="normal">210*1.2</f>
        <v>252</v>
      </c>
      <c r="D6" s="2" t="n">
        <f aca="false" ca="false" dt2D="false" dtr="false" t="normal">240*1.2</f>
        <v>288</v>
      </c>
      <c r="E6" s="2" t="n">
        <f aca="false" ca="false" dt2D="false" dtr="false" t="normal">240*1.2</f>
        <v>288</v>
      </c>
      <c r="F6" s="2" t="n">
        <f aca="false" ca="false" dt2D="false" dtr="false" t="normal">320*1.2</f>
        <v>384</v>
      </c>
      <c r="G6" s="2" t="n">
        <f aca="false" ca="false" dt2D="false" dtr="false" t="normal">400*1.2</f>
        <v>480</v>
      </c>
      <c r="H6" s="2" t="n">
        <f aca="false" ca="false" dt2D="false" dtr="false" t="normal">450*1.2</f>
        <v>540</v>
      </c>
      <c r="J6" s="3" t="n">
        <f aca="false" ca="false" dt2D="false" dtr="false" t="normal">70*1.2</f>
        <v>84</v>
      </c>
      <c r="K6" s="3" t="n">
        <f aca="false" ca="false" dt2D="false" dtr="false" t="normal">90*1.2</f>
        <v>108</v>
      </c>
      <c r="L6" s="3" t="n">
        <f aca="false" ca="false" dt2D="false" dtr="false" t="normal">90*1.2</f>
        <v>108</v>
      </c>
      <c r="M6" s="0" t="n">
        <f aca="false" ca="false" dt2D="false" dtr="false" t="normal">115*1.2</f>
        <v>138</v>
      </c>
      <c r="N6" s="0" t="n">
        <f aca="false" ca="false" dt2D="false" dtr="false" t="normal">130*1.2</f>
        <v>156</v>
      </c>
      <c r="O6" s="0" t="n">
        <f aca="false" ca="false" dt2D="false" dtr="false" t="normal">140*1.2</f>
        <v>168</v>
      </c>
      <c r="P6" s="0" t="n">
        <f aca="false" ca="false" dt2D="false" dtr="false" t="normal">160*1.2</f>
        <v>192</v>
      </c>
      <c r="Q6" s="0" t="n">
        <f aca="false" ca="false" dt2D="false" dtr="false" t="normal">180*1.2</f>
        <v>216</v>
      </c>
      <c r="R6" s="0" t="n">
        <f aca="false" ca="false" dt2D="false" dtr="false" t="normal">240*1.2</f>
        <v>288</v>
      </c>
      <c r="T6" s="0" t="n"/>
      <c r="U6" s="0" t="n"/>
      <c r="V6" s="0" t="n"/>
      <c r="W6" s="0" t="n"/>
    </row>
    <row customHeight="true" hidden="false" ht="22.2000122070313" outlineLevel="0" r="7">
      <c r="A7" s="1" t="s">
        <v>32</v>
      </c>
      <c r="B7" s="2" t="n">
        <f aca="false" ca="false" dt2D="false" dtr="false" t="normal">60*1.2</f>
        <v>72</v>
      </c>
      <c r="C7" s="2" t="n">
        <f aca="false" ca="false" dt2D="false" dtr="false" t="normal">80*1.2</f>
        <v>96</v>
      </c>
      <c r="D7" s="2" t="n">
        <f aca="false" ca="false" dt2D="false" dtr="false" t="normal">130*1.2</f>
        <v>156</v>
      </c>
      <c r="G7" s="2" t="n">
        <f aca="false" ca="false" dt2D="false" dtr="false" t="normal">170*1.2</f>
        <v>204</v>
      </c>
      <c r="H7" s="2" t="n">
        <f aca="false" ca="false" dt2D="false" dtr="false" t="normal">250*1.2</f>
        <v>300</v>
      </c>
      <c r="J7" s="3" t="n">
        <f aca="false" ca="false" dt2D="false" dtr="false" t="normal">35*1.2</f>
        <v>42</v>
      </c>
      <c r="K7" s="3" t="n">
        <f aca="false" ca="false" dt2D="false" dtr="false" t="normal">35*1.2</f>
        <v>42</v>
      </c>
      <c r="L7" s="3" t="n">
        <f aca="false" ca="false" dt2D="false" dtr="false" t="normal">35*1.2</f>
        <v>42</v>
      </c>
      <c r="M7" s="3" t="n">
        <f aca="false" ca="false" dt2D="false" dtr="false" t="normal">35*1.2</f>
        <v>42</v>
      </c>
      <c r="N7" s="3" t="n">
        <f aca="false" ca="false" dt2D="false" dtr="false" t="normal">35*1.2</f>
        <v>42</v>
      </c>
      <c r="T7" s="0" t="n">
        <v>210</v>
      </c>
      <c r="U7" s="0" t="n">
        <v>210</v>
      </c>
      <c r="V7" s="0" t="n">
        <v>350</v>
      </c>
      <c r="W7" s="0" t="n">
        <v>760</v>
      </c>
    </row>
    <row customHeight="true" hidden="false" ht="27" outlineLevel="0" r="8">
      <c r="A8" s="1" t="s">
        <v>33</v>
      </c>
      <c r="B8" s="2" t="n">
        <f aca="false" ca="false" dt2D="false" dtr="false" t="normal">150*1.2</f>
        <v>180</v>
      </c>
      <c r="C8" s="2" t="n">
        <f aca="false" ca="false" dt2D="false" dtr="false" t="normal">160*1.2</f>
        <v>192</v>
      </c>
      <c r="D8" s="2" t="n">
        <f aca="false" ca="false" dt2D="false" dtr="false" t="normal">240*1.2</f>
        <v>288</v>
      </c>
      <c r="G8" s="2" t="n">
        <f aca="false" ca="false" dt2D="false" dtr="false" t="normal">350*1.2</f>
        <v>420</v>
      </c>
      <c r="H8" s="2" t="n">
        <f aca="false" ca="false" dt2D="false" dtr="false" t="normal">350*1.2</f>
        <v>420</v>
      </c>
      <c r="J8" s="3" t="n">
        <f aca="false" ca="false" dt2D="false" dtr="false" t="normal">100*1.2</f>
        <v>120</v>
      </c>
      <c r="K8" s="3" t="n">
        <f aca="false" ca="false" dt2D="false" dtr="false" t="normal">100*1.2</f>
        <v>120</v>
      </c>
      <c r="L8" s="3" t="n">
        <f aca="false" ca="false" dt2D="false" dtr="false" t="normal">100*1.2</f>
        <v>120</v>
      </c>
      <c r="M8" s="3" t="n">
        <f aca="false" ca="false" dt2D="false" dtr="false" t="normal">100*1.2</f>
        <v>120</v>
      </c>
      <c r="N8" s="3" t="n">
        <f aca="false" ca="false" dt2D="false" dtr="false" t="normal">100*1.2</f>
        <v>120</v>
      </c>
      <c r="O8" s="3" t="n">
        <f aca="false" ca="false" dt2D="false" dtr="false" t="normal">100*1.2</f>
        <v>120</v>
      </c>
      <c r="P8" s="3" t="n">
        <f aca="false" ca="false" dt2D="false" dtr="false" t="normal">100*1.2</f>
        <v>120</v>
      </c>
      <c r="Q8" s="3" t="n">
        <f aca="false" ca="false" dt2D="false" dtr="false" t="normal">100*1.2</f>
        <v>120</v>
      </c>
      <c r="R8" s="3" t="n">
        <f aca="false" ca="false" dt2D="false" dtr="false" t="normal">100*1.2</f>
        <v>120</v>
      </c>
      <c r="T8" s="0" t="n">
        <v>420</v>
      </c>
      <c r="U8" s="0" t="n">
        <v>420</v>
      </c>
      <c r="V8" s="0" t="n">
        <v>480</v>
      </c>
      <c r="W8" s="0" t="n">
        <v>630</v>
      </c>
    </row>
    <row customHeight="true" hidden="false" ht="21" outlineLevel="0" r="9">
      <c r="A9" s="1" t="s">
        <v>34</v>
      </c>
      <c r="B9" s="2" t="n">
        <f aca="false" ca="false" dt2D="false" dtr="false" t="normal">120*1.2</f>
        <v>144</v>
      </c>
      <c r="C9" s="2" t="n">
        <f aca="false" ca="false" dt2D="false" dtr="false" t="normal">150*1.2</f>
        <v>180</v>
      </c>
      <c r="E9" s="2" t="n">
        <f aca="false" ca="false" dt2D="false" dtr="false" t="normal">150*1.2</f>
        <v>180</v>
      </c>
      <c r="F9" s="2" t="n">
        <f aca="false" ca="false" dt2D="false" dtr="false" t="normal">200*1.2</f>
        <v>240</v>
      </c>
      <c r="H9" s="2" t="n">
        <f aca="false" ca="false" dt2D="false" dtr="false" t="normal">350*1.2</f>
        <v>420</v>
      </c>
      <c r="J9" s="3" t="n">
        <f aca="false" ca="false" dt2D="false" dtr="false" t="normal">70*1.2</f>
        <v>84</v>
      </c>
      <c r="K9" s="3" t="n">
        <f aca="false" ca="false" dt2D="false" dtr="false" t="normal">70*1.2</f>
        <v>84</v>
      </c>
      <c r="L9" s="3" t="n">
        <f aca="false" ca="false" dt2D="false" dtr="false" t="normal">70*1.2</f>
        <v>84</v>
      </c>
      <c r="M9" s="0" t="n">
        <f aca="false" ca="false" dt2D="false" dtr="false" t="normal">90*1.2</f>
        <v>108</v>
      </c>
      <c r="N9" s="0" t="n">
        <f aca="false" ca="false" dt2D="false" dtr="false" t="normal">90*1.2</f>
        <v>108</v>
      </c>
      <c r="O9" s="0" t="n">
        <f aca="false" ca="false" dt2D="false" dtr="false" t="normal">115*1.2</f>
        <v>138</v>
      </c>
      <c r="P9" s="0" t="n">
        <f aca="false" ca="false" dt2D="false" dtr="false" t="normal">130*1.2</f>
        <v>156</v>
      </c>
      <c r="Q9" s="0" t="n">
        <f aca="false" ca="false" dt2D="false" dtr="false" t="normal">130*1.2</f>
        <v>156</v>
      </c>
      <c r="R9" s="0" t="n">
        <f aca="false" ca="false" dt2D="false" dtr="false" t="normal">130*1.2</f>
        <v>156</v>
      </c>
      <c r="T9" s="0" t="n">
        <v>210</v>
      </c>
      <c r="U9" s="0" t="n">
        <v>300</v>
      </c>
      <c r="V9" s="0" t="n">
        <v>350</v>
      </c>
      <c r="W9" s="0" t="n">
        <v>420</v>
      </c>
    </row>
    <row customHeight="true" hidden="false" ht="24" outlineLevel="0" r="10">
      <c r="A10" s="1" t="s">
        <v>35</v>
      </c>
      <c r="B10" s="2" t="n">
        <f aca="false" ca="false" dt2D="false" dtr="false" t="normal">700*1.2</f>
        <v>840</v>
      </c>
      <c r="C10" s="2" t="n">
        <f aca="false" ca="false" dt2D="false" dtr="false" t="normal">700*1.2</f>
        <v>840</v>
      </c>
      <c r="D10" s="2" t="n">
        <f aca="false" ca="false" dt2D="false" dtr="false" t="normal">700*1.2</f>
        <v>840</v>
      </c>
      <c r="E10" s="2" t="n">
        <f aca="false" ca="false" dt2D="false" dtr="false" t="normal">700*1.2</f>
        <v>840</v>
      </c>
      <c r="F10" s="2" t="n">
        <f aca="false" ca="false" dt2D="false" dtr="false" t="normal">700*1.2</f>
        <v>840</v>
      </c>
      <c r="G10" s="2" t="n">
        <f aca="false" ca="false" dt2D="false" dtr="false" t="normal">700*1.2</f>
        <v>840</v>
      </c>
      <c r="H10" s="2" t="n">
        <f aca="false" ca="false" dt2D="false" dtr="false" t="normal">700*1.2</f>
        <v>840</v>
      </c>
      <c r="T10" s="0" t="n"/>
      <c r="U10" s="0" t="n"/>
      <c r="V10" s="0" t="n"/>
      <c r="W10" s="0" t="n"/>
    </row>
    <row customHeight="true" hidden="false" ht="25.8000030517578" outlineLevel="0" r="11">
      <c r="A11" s="1" t="s">
        <v>36</v>
      </c>
      <c r="J11" s="3" t="n">
        <f aca="false" ca="false" dt2D="false" dtr="false" t="normal">750*1.2</f>
        <v>900</v>
      </c>
      <c r="K11" s="3" t="n">
        <f aca="false" ca="false" dt2D="false" dtr="false" t="normal">750*1.2</f>
        <v>900</v>
      </c>
      <c r="L11" s="3" t="n">
        <f aca="false" ca="false" dt2D="false" dtr="false" t="normal">750*1.2</f>
        <v>900</v>
      </c>
      <c r="M11" s="3" t="n">
        <f aca="false" ca="false" dt2D="false" dtr="false" t="normal">750*1.2</f>
        <v>900</v>
      </c>
      <c r="N11" s="3" t="n">
        <f aca="false" ca="false" dt2D="false" dtr="false" t="normal">750*1.2</f>
        <v>900</v>
      </c>
      <c r="O11" s="0" t="n">
        <f aca="false" ca="false" dt2D="false" dtr="false" t="normal">850*1.2</f>
        <v>1020</v>
      </c>
      <c r="P11" s="0" t="n">
        <f aca="false" ca="false" dt2D="false" dtr="false" t="normal">850*1.2</f>
        <v>1020</v>
      </c>
      <c r="Q11" s="0" t="n">
        <f aca="false" ca="false" dt2D="false" dtr="false" t="normal">950*1.2</f>
        <v>1140</v>
      </c>
      <c r="R11" s="0" t="n">
        <f aca="false" ca="false" dt2D="false" dtr="false" t="normal">950*1.2</f>
        <v>1140</v>
      </c>
      <c r="T11" s="0" t="n"/>
      <c r="U11" s="0" t="n"/>
      <c r="V11" s="0" t="n"/>
      <c r="W11" s="0" t="n"/>
    </row>
    <row customHeight="true" hidden="false" ht="22.7999877929688" outlineLevel="0" r="12">
      <c r="A12" s="1" t="s">
        <v>37</v>
      </c>
      <c r="C12" s="2" t="n">
        <f aca="false" ca="false" dt2D="false" dtr="false" t="normal">400*1.2</f>
        <v>480</v>
      </c>
      <c r="D12" s="2" t="n">
        <f aca="false" ca="false" dt2D="false" dtr="false" t="normal">400*1.2</f>
        <v>480</v>
      </c>
      <c r="E12" s="2" t="n">
        <f aca="false" ca="false" dt2D="false" dtr="false" t="normal">400*1.2</f>
        <v>480</v>
      </c>
      <c r="F12" s="2" t="n">
        <f aca="false" ca="false" dt2D="false" dtr="false" t="normal">400*1.2</f>
        <v>480</v>
      </c>
      <c r="G12" s="2" t="n">
        <f aca="false" ca="false" dt2D="false" dtr="false" t="normal">400*1.2</f>
        <v>480</v>
      </c>
      <c r="H12" s="2" t="n">
        <f aca="false" ca="false" dt2D="false" dtr="false" t="normal">450*1.2</f>
        <v>540</v>
      </c>
      <c r="T12" s="0" t="n">
        <v>960</v>
      </c>
      <c r="U12" s="0" t="n">
        <v>960</v>
      </c>
      <c r="V12" s="0" t="n">
        <v>960</v>
      </c>
      <c r="W12" s="0" t="n"/>
    </row>
    <row customHeight="true" hidden="false" ht="24.6000061035156" outlineLevel="0" r="13">
      <c r="A13" s="1" t="s">
        <v>38</v>
      </c>
      <c r="D13" s="2" t="n">
        <f aca="false" ca="false" dt2D="false" dtr="false" t="normal">1600*1.2</f>
        <v>1920</v>
      </c>
      <c r="E13" s="2" t="n">
        <f aca="false" ca="false" dt2D="false" dtr="false" t="normal">1600*1.2</f>
        <v>1920</v>
      </c>
      <c r="G13" s="2" t="n">
        <f aca="false" ca="false" dt2D="false" dtr="false" t="normal">1600*1.2</f>
        <v>1920</v>
      </c>
      <c r="H13" s="2" t="n">
        <f aca="false" ca="false" dt2D="false" dtr="false" t="normal">1600*1.2</f>
        <v>1920</v>
      </c>
      <c r="T13" s="0" t="n">
        <v>2100</v>
      </c>
      <c r="U13" s="0" t="n">
        <v>2100</v>
      </c>
      <c r="V13" s="0" t="n">
        <v>2100</v>
      </c>
      <c r="W13" s="0" t="n">
        <v>2100</v>
      </c>
    </row>
    <row customHeight="true" hidden="false" ht="27.6000061035156" outlineLevel="0" r="14">
      <c r="A14" s="1" t="s">
        <v>39</v>
      </c>
      <c r="J14" s="3" t="s">
        <v>40</v>
      </c>
      <c r="K14" s="3" t="s">
        <v>40</v>
      </c>
      <c r="L14" s="3" t="s">
        <v>41</v>
      </c>
      <c r="M14" s="9" t="s">
        <v>41</v>
      </c>
      <c r="N14" s="3" t="s">
        <v>41</v>
      </c>
      <c r="O14" s="3" t="s">
        <v>41</v>
      </c>
      <c r="P14" s="3" t="s">
        <v>41</v>
      </c>
      <c r="Q14" s="3" t="s">
        <v>41</v>
      </c>
      <c r="R14" s="3" t="s">
        <v>41</v>
      </c>
      <c r="T14" s="0" t="n"/>
      <c r="U14" s="0" t="n"/>
      <c r="V14" s="0" t="n"/>
      <c r="W14" s="0" t="n"/>
    </row>
    <row customHeight="true" hidden="false" ht="27.6000061035156" outlineLevel="0" r="15">
      <c r="A15" s="1" t="s">
        <v>42</v>
      </c>
      <c r="L15" s="3" t="n"/>
      <c r="M15" s="3" t="n"/>
      <c r="N15" s="3" t="n"/>
      <c r="O15" s="3" t="n"/>
      <c r="P15" s="3" t="n"/>
      <c r="Q15" s="3" t="n"/>
      <c r="R15" s="3" t="n"/>
      <c r="T15" s="0" t="n"/>
      <c r="U15" s="0" t="n"/>
      <c r="V15" s="0" t="n"/>
      <c r="W15" s="0" t="n"/>
    </row>
    <row customHeight="true" hidden="false" ht="24" outlineLevel="0" r="16">
      <c r="A16" s="1" t="s">
        <v>43</v>
      </c>
      <c r="T16" s="0" t="n"/>
      <c r="U16" s="0" t="n"/>
      <c r="V16" s="0" t="n"/>
      <c r="W16" s="0" t="n"/>
    </row>
    <row customHeight="true" hidden="false" ht="31.8000183105469" outlineLevel="0" r="17">
      <c r="A17" s="1" t="s">
        <v>44</v>
      </c>
      <c r="T17" s="0" t="n"/>
      <c r="U17" s="0" t="n"/>
      <c r="V17" s="0" t="n"/>
      <c r="W17" s="0" t="n"/>
    </row>
    <row customHeight="true" hidden="false" ht="24" outlineLevel="0" r="18">
      <c r="A18" s="1" t="s">
        <v>45</v>
      </c>
      <c r="T18" s="0" t="n"/>
      <c r="U18" s="0" t="n"/>
      <c r="V18" s="0" t="n"/>
      <c r="W18" s="0" t="n"/>
    </row>
    <row customHeight="true" hidden="false" ht="27.6000061035156" outlineLevel="0" r="19">
      <c r="A19" s="1" t="s">
        <v>46</v>
      </c>
      <c r="B19" s="2" t="n">
        <f aca="false" ca="false" dt2D="false" dtr="false" t="normal">80*1.2</f>
        <v>96</v>
      </c>
      <c r="C19" s="2" t="n">
        <f aca="false" ca="false" dt2D="false" dtr="false" t="normal">80*1.2</f>
        <v>96</v>
      </c>
      <c r="D19" s="2" t="n">
        <f aca="false" ca="false" dt2D="false" dtr="false" t="normal">80*1.2</f>
        <v>96</v>
      </c>
      <c r="E19" s="2" t="n">
        <f aca="false" ca="false" dt2D="false" dtr="false" t="normal">80*1.2</f>
        <v>96</v>
      </c>
      <c r="F19" s="2" t="n">
        <f aca="false" ca="false" dt2D="false" dtr="false" t="normal">80*1.2</f>
        <v>96</v>
      </c>
      <c r="G19" s="2" t="n">
        <f aca="false" ca="false" dt2D="false" dtr="false" t="normal">80*1.2</f>
        <v>96</v>
      </c>
      <c r="H19" s="2" t="n">
        <f aca="false" ca="false" dt2D="false" dtr="false" t="normal">80*1.2</f>
        <v>96</v>
      </c>
      <c r="J19" s="3" t="n">
        <f aca="false" ca="false" dt2D="false" dtr="false" t="normal">45*1.2</f>
        <v>54</v>
      </c>
      <c r="K19" s="3" t="n">
        <f aca="false" ca="false" dt2D="false" dtr="false" t="normal">45*1.2</f>
        <v>54</v>
      </c>
      <c r="L19" s="3" t="n">
        <f aca="false" ca="false" dt2D="false" dtr="false" t="normal">45*1.2</f>
        <v>54</v>
      </c>
      <c r="M19" s="0" t="n">
        <f aca="false" ca="false" dt2D="false" dtr="false" t="normal">50*1.2</f>
        <v>60</v>
      </c>
      <c r="N19" s="0" t="n">
        <f aca="false" ca="false" dt2D="false" dtr="false" t="normal">50*1.2</f>
        <v>60</v>
      </c>
      <c r="O19" s="0" t="n">
        <f aca="false" ca="false" dt2D="false" dtr="false" t="normal">60*1.2</f>
        <v>72</v>
      </c>
      <c r="P19" s="0" t="n">
        <f aca="false" ca="false" dt2D="false" dtr="false" t="normal">60*1.2</f>
        <v>72</v>
      </c>
      <c r="Q19" s="0" t="n">
        <f aca="false" ca="false" dt2D="false" dtr="false" t="normal">70*1.2</f>
        <v>84</v>
      </c>
      <c r="R19" s="0" t="n">
        <f aca="false" ca="false" dt2D="false" dtr="false" t="normal">70*1.2</f>
        <v>84</v>
      </c>
      <c r="T19" s="0" t="n">
        <v>150</v>
      </c>
      <c r="U19" s="0" t="n">
        <v>150</v>
      </c>
      <c r="V19" s="0" t="n">
        <v>150</v>
      </c>
      <c r="W19" s="0" t="n">
        <v>150</v>
      </c>
    </row>
    <row customHeight="true" hidden="false" ht="26.4000244140625" outlineLevel="0" r="20">
      <c r="A20" s="1" t="s">
        <v>47</v>
      </c>
      <c r="T20" s="0" t="n"/>
      <c r="U20" s="0" t="n"/>
      <c r="V20" s="0" t="n"/>
      <c r="W20" s="0" t="n"/>
    </row>
    <row customHeight="true" hidden="false" ht="27.0000305175781" outlineLevel="0" r="21">
      <c r="A21" s="1" t="s">
        <v>48</v>
      </c>
      <c r="B21" s="2" t="n">
        <f aca="false" ca="false" dt2D="false" dtr="false" t="normal">150*1.2</f>
        <v>180</v>
      </c>
      <c r="C21" s="2" t="n">
        <f aca="false" ca="false" dt2D="false" dtr="false" t="normal">180*1.2</f>
        <v>216</v>
      </c>
      <c r="D21" s="2" t="n">
        <f aca="false" ca="false" dt2D="false" dtr="false" t="normal">150*1.2</f>
        <v>180</v>
      </c>
      <c r="E21" s="2" t="n">
        <f aca="false" ca="false" dt2D="false" dtr="false" t="normal">200*1.2</f>
        <v>240</v>
      </c>
      <c r="F21" s="2" t="n">
        <f aca="false" ca="false" dt2D="false" dtr="false" t="normal">250*1.2</f>
        <v>300</v>
      </c>
      <c r="G21" s="2" t="n">
        <f aca="false" ca="false" dt2D="false" dtr="false" t="normal">250*1.2</f>
        <v>300</v>
      </c>
      <c r="T21" s="0" t="n"/>
      <c r="U21" s="0" t="n"/>
      <c r="V21" s="0" t="n"/>
      <c r="W21" s="0" t="n"/>
    </row>
    <row customHeight="true" hidden="false" ht="27.5999450683594" outlineLevel="0" r="22">
      <c r="A22" s="1" t="s">
        <v>49</v>
      </c>
      <c r="T22" s="0" t="n"/>
      <c r="U22" s="0" t="n"/>
      <c r="V22" s="0" t="n"/>
      <c r="W22" s="0" t="n"/>
    </row>
    <row customHeight="true" hidden="false" ht="28.7999572753906" outlineLevel="0" r="23">
      <c r="A23" s="1" t="s">
        <v>50</v>
      </c>
      <c r="B23" s="2" t="n">
        <f aca="false" ca="false" dt2D="false" dtr="false" t="normal">50*1.2</f>
        <v>60</v>
      </c>
      <c r="C23" s="10" t="n">
        <f aca="false" ca="false" dt2D="false" dtr="false" t="normal">60*1.2</f>
        <v>72</v>
      </c>
      <c r="D23" s="2" t="n">
        <f aca="false" ca="false" dt2D="false" dtr="false" t="normal">60*1.2</f>
        <v>72</v>
      </c>
      <c r="E23" s="2" t="n">
        <f aca="false" ca="false" dt2D="false" dtr="false" t="normal">60*1.2</f>
        <v>72</v>
      </c>
      <c r="F23" s="2" t="n">
        <f aca="false" ca="false" dt2D="false" dtr="false" t="normal">60*1.2</f>
        <v>72</v>
      </c>
      <c r="G23" s="2" t="n">
        <f aca="false" ca="false" dt2D="false" dtr="false" t="normal">60*1.2</f>
        <v>72</v>
      </c>
      <c r="H23" s="2" t="n">
        <f aca="false" ca="false" dt2D="false" dtr="false" t="normal">60*1.2</f>
        <v>72</v>
      </c>
      <c r="T23" s="0" t="n"/>
      <c r="U23" s="0" t="n"/>
      <c r="V23" s="0" t="n"/>
      <c r="W23" s="0" t="n"/>
    </row>
    <row customHeight="true" hidden="false" ht="26.3999328613281" outlineLevel="0" r="24">
      <c r="A24" s="1" t="s">
        <v>51</v>
      </c>
      <c r="J24" s="3" t="n">
        <f aca="false" ca="false" dt2D="false" dtr="false" t="normal">170*1.2</f>
        <v>204</v>
      </c>
      <c r="K24" s="3" t="n">
        <f aca="false" ca="false" dt2D="false" dtr="false" t="normal">170*1.2</f>
        <v>204</v>
      </c>
      <c r="L24" s="3" t="n">
        <f aca="false" ca="false" dt2D="false" dtr="false" t="normal">170*1.2</f>
        <v>204</v>
      </c>
      <c r="M24" s="3" t="n">
        <f aca="false" ca="false" dt2D="false" dtr="false" t="normal">170*1.2</f>
        <v>204</v>
      </c>
      <c r="N24" s="3" t="n">
        <f aca="false" ca="false" dt2D="false" dtr="false" t="normal">170*1.2</f>
        <v>204</v>
      </c>
      <c r="O24" s="0" t="n">
        <f aca="false" ca="false" dt2D="false" dtr="false" t="normal">230*1.2</f>
        <v>276</v>
      </c>
      <c r="P24" s="0" t="n">
        <f aca="false" ca="false" dt2D="false" dtr="false" t="normal">230*1.2</f>
        <v>276</v>
      </c>
      <c r="Q24" s="0" t="n">
        <f aca="false" ca="false" dt2D="false" dtr="false" t="normal">230*1.2</f>
        <v>276</v>
      </c>
      <c r="R24" s="0" t="n">
        <f aca="false" ca="false" dt2D="false" dtr="false" t="normal">230*1.2</f>
        <v>276</v>
      </c>
      <c r="T24" s="0" t="n"/>
      <c r="U24" s="0" t="n"/>
      <c r="V24" s="0" t="n"/>
      <c r="W24" s="0" t="n"/>
    </row>
    <row customHeight="true" hidden="false" ht="27.6001586914063" outlineLevel="0" r="25">
      <c r="A25" s="1" t="s">
        <v>52</v>
      </c>
      <c r="T25" s="0" t="n"/>
      <c r="U25" s="0" t="n"/>
      <c r="V25" s="0" t="n"/>
      <c r="W25" s="0" t="n"/>
    </row>
    <row outlineLevel="0" r="26">
      <c r="A26" s="1" t="s">
        <v>53</v>
      </c>
      <c r="B26" s="2" t="n">
        <f aca="false" ca="false" dt2D="false" dtr="false" t="normal">350*1.2</f>
        <v>420</v>
      </c>
      <c r="C26" s="2" t="n">
        <f aca="false" ca="false" dt2D="false" dtr="false" t="normal">350*1.2</f>
        <v>420</v>
      </c>
      <c r="D26" s="2" t="n">
        <f aca="false" ca="false" dt2D="false" dtr="false" t="normal">350*1.2</f>
        <v>420</v>
      </c>
      <c r="E26" s="2" t="n">
        <f aca="false" ca="false" dt2D="false" dtr="false" t="normal">350*1.2</f>
        <v>420</v>
      </c>
      <c r="F26" s="2" t="n">
        <f aca="false" ca="false" dt2D="false" dtr="false" t="normal">350*1.2</f>
        <v>420</v>
      </c>
      <c r="G26" s="2" t="n">
        <f aca="false" ca="false" dt2D="false" dtr="false" t="normal">350*1.2</f>
        <v>420</v>
      </c>
      <c r="H26" s="2" t="n">
        <f aca="false" ca="false" dt2D="false" dtr="false" t="normal">350*1.2</f>
        <v>420</v>
      </c>
      <c r="T26" s="0" t="n"/>
      <c r="U26" s="0" t="n"/>
      <c r="V26" s="0" t="n"/>
      <c r="W26" s="0" t="n"/>
    </row>
    <row customHeight="true" hidden="false" ht="24.5021362304688" outlineLevel="0" r="27">
      <c r="A27" s="1" t="s">
        <v>54</v>
      </c>
      <c r="B27" s="2" t="n">
        <f aca="false" ca="false" dt2D="false" dtr="false" t="normal">100*1.2</f>
        <v>120</v>
      </c>
      <c r="C27" s="2" t="n">
        <f aca="false" ca="false" dt2D="false" dtr="false" t="normal">100*1.2</f>
        <v>120</v>
      </c>
      <c r="D27" s="2" t="n">
        <f aca="false" ca="false" dt2D="false" dtr="false" t="normal">100*1.2</f>
        <v>120</v>
      </c>
      <c r="E27" s="2" t="n">
        <f aca="false" ca="false" dt2D="false" dtr="false" t="normal">100*1.2</f>
        <v>120</v>
      </c>
      <c r="F27" s="2" t="n">
        <f aca="false" ca="false" dt2D="false" dtr="false" t="normal">100*1.2</f>
        <v>120</v>
      </c>
      <c r="G27" s="2" t="n">
        <f aca="false" ca="false" dt2D="false" dtr="false" t="normal">100*1.2</f>
        <v>120</v>
      </c>
      <c r="H27" s="2" t="n">
        <f aca="false" ca="false" dt2D="false" dtr="false" t="normal">100*1.2</f>
        <v>120</v>
      </c>
      <c r="T27" s="0" t="n"/>
      <c r="U27" s="0" t="n"/>
      <c r="V27" s="0" t="n"/>
      <c r="W27" s="0" t="n"/>
    </row>
    <row customHeight="true" hidden="false" ht="21.5021362304688" outlineLevel="0" r="28">
      <c r="A28" s="1" t="s">
        <v>55</v>
      </c>
      <c r="B28" s="2" t="n">
        <f aca="false" ca="false" dt2D="false" dtr="false" t="normal">70*1.2</f>
        <v>84</v>
      </c>
      <c r="C28" s="2" t="n">
        <f aca="false" ca="false" dt2D="false" dtr="false" t="normal">80*1.2</f>
        <v>96</v>
      </c>
      <c r="D28" s="2" t="n">
        <f aca="false" ca="false" dt2D="false" dtr="false" t="normal">80*1.2</f>
        <v>96</v>
      </c>
      <c r="E28" s="2" t="n">
        <f aca="false" ca="false" dt2D="false" dtr="false" t="normal">80*1.2</f>
        <v>96</v>
      </c>
      <c r="F28" s="2" t="n">
        <f aca="false" ca="false" dt2D="false" dtr="false" t="normal">170*1.2</f>
        <v>204</v>
      </c>
      <c r="G28" s="2" t="n">
        <f aca="false" ca="false" dt2D="false" dtr="false" t="normal">170*1.2</f>
        <v>204</v>
      </c>
      <c r="H28" s="2" t="n">
        <f aca="false" ca="false" dt2D="false" dtr="false" t="normal">170*1.2</f>
        <v>204</v>
      </c>
      <c r="J28" s="3" t="n">
        <f aca="false" ca="false" dt2D="false" dtr="false" t="normal">70*1.2</f>
        <v>84</v>
      </c>
      <c r="K28" s="3" t="n">
        <f aca="false" ca="false" dt2D="false" dtr="false" t="normal">70*1.2</f>
        <v>84</v>
      </c>
      <c r="L28" s="3" t="n">
        <f aca="false" ca="false" dt2D="false" dtr="false" t="normal">70*1.2</f>
        <v>84</v>
      </c>
      <c r="M28" s="3" t="n">
        <f aca="false" ca="false" dt2D="false" dtr="false" t="normal">70*1.2</f>
        <v>84</v>
      </c>
      <c r="N28" s="3" t="n">
        <f aca="false" ca="false" dt2D="false" dtr="false" t="normal">70*1.2</f>
        <v>84</v>
      </c>
      <c r="O28" s="3" t="n">
        <f aca="false" ca="false" dt2D="false" dtr="false" t="normal">70*1.2</f>
        <v>84</v>
      </c>
      <c r="P28" s="3" t="n">
        <f aca="false" ca="false" dt2D="false" dtr="false" t="normal">70*1.2</f>
        <v>84</v>
      </c>
      <c r="Q28" s="0" t="n">
        <f aca="false" ca="false" dt2D="false" dtr="false" t="normal">80*1.2</f>
        <v>96</v>
      </c>
      <c r="R28" s="0" t="n">
        <f aca="false" ca="false" dt2D="false" dtr="false" t="normal">80*1.2</f>
        <v>96</v>
      </c>
      <c r="T28" s="0" t="n">
        <v>210</v>
      </c>
      <c r="U28" s="0" t="n">
        <v>210</v>
      </c>
      <c r="V28" s="0" t="n">
        <v>350</v>
      </c>
      <c r="W28" s="0" t="n">
        <v>630</v>
      </c>
    </row>
    <row customHeight="true" hidden="false" ht="25.7021484375" outlineLevel="0" r="29">
      <c r="A29" s="1" t="s">
        <v>56</v>
      </c>
      <c r="B29" s="2" t="n">
        <f aca="false" ca="false" dt2D="false" dtr="false" t="normal">60*1.2</f>
        <v>72</v>
      </c>
      <c r="C29" s="2" t="n">
        <f aca="false" ca="false" dt2D="false" dtr="false" t="normal">60*1.2</f>
        <v>72</v>
      </c>
      <c r="D29" s="2" t="n">
        <f aca="false" ca="false" dt2D="false" dtr="false" t="normal">60*1.2</f>
        <v>72</v>
      </c>
      <c r="E29" s="2" t="n">
        <f aca="false" ca="false" dt2D="false" dtr="false" t="normal">60*1.2</f>
        <v>72</v>
      </c>
      <c r="F29" s="2" t="n">
        <f aca="false" ca="false" dt2D="false" dtr="false" t="normal">80*1.2</f>
        <v>96</v>
      </c>
      <c r="G29" s="2" t="n">
        <f aca="false" ca="false" dt2D="false" dtr="false" t="normal">80*1.2</f>
        <v>96</v>
      </c>
      <c r="H29" s="2" t="n">
        <f aca="false" ca="false" dt2D="false" dtr="false" t="normal">80*1.2</f>
        <v>96</v>
      </c>
      <c r="J29" s="3" t="n">
        <f aca="false" ca="false" dt2D="false" dtr="false" t="normal">50*1.2</f>
        <v>60</v>
      </c>
      <c r="K29" s="3" t="n">
        <f aca="false" ca="false" dt2D="false" dtr="false" t="normal">50*1.2</f>
        <v>60</v>
      </c>
      <c r="L29" s="3" t="n">
        <f aca="false" ca="false" dt2D="false" dtr="false" t="normal">50*1.2</f>
        <v>60</v>
      </c>
      <c r="M29" s="3" t="n">
        <f aca="false" ca="false" dt2D="false" dtr="false" t="normal">50*1.2</f>
        <v>60</v>
      </c>
      <c r="N29" s="3" t="n">
        <f aca="false" ca="false" dt2D="false" dtr="false" t="normal">50*1.2</f>
        <v>60</v>
      </c>
      <c r="O29" s="0" t="n">
        <f aca="false" ca="false" dt2D="false" dtr="false" t="normal">60*1.2</f>
        <v>72</v>
      </c>
      <c r="P29" s="0" t="n">
        <f aca="false" ca="false" dt2D="false" dtr="false" t="normal">60*1.2</f>
        <v>72</v>
      </c>
      <c r="Q29" s="0" t="n">
        <f aca="false" ca="false" dt2D="false" dtr="false" t="normal">70*1.2</f>
        <v>84</v>
      </c>
      <c r="R29" s="0" t="n">
        <f aca="false" ca="false" dt2D="false" dtr="false" t="normal">70*1.2</f>
        <v>84</v>
      </c>
      <c r="T29" s="0" t="n">
        <v>110</v>
      </c>
      <c r="U29" s="0" t="n">
        <v>150</v>
      </c>
      <c r="V29" s="0" t="n">
        <v>210</v>
      </c>
      <c r="W29" s="0" t="n">
        <v>350</v>
      </c>
    </row>
    <row customHeight="true" hidden="false" ht="25.1021118164063" outlineLevel="0" r="30">
      <c r="A30" s="1" t="s">
        <v>57</v>
      </c>
      <c r="B30" s="2" t="n">
        <f aca="false" ca="false" dt2D="false" dtr="false" t="normal">1000*1.2</f>
        <v>1200</v>
      </c>
      <c r="C30" s="2" t="n">
        <f aca="false" ca="false" dt2D="false" dtr="false" t="normal">1000*1.2</f>
        <v>1200</v>
      </c>
      <c r="D30" s="2" t="n">
        <f aca="false" ca="false" dt2D="false" dtr="false" t="normal">1150*1.2</f>
        <v>1380</v>
      </c>
      <c r="E30" s="2" t="n">
        <f aca="false" ca="false" dt2D="false" dtr="false" t="normal">1150*1.2</f>
        <v>1380</v>
      </c>
      <c r="F30" s="2" t="n">
        <f aca="false" ca="false" dt2D="false" dtr="false" t="normal">1500*1.2</f>
        <v>1800</v>
      </c>
      <c r="G30" s="2" t="n">
        <f aca="false" ca="false" dt2D="false" dtr="false" t="normal">1500*1.2</f>
        <v>1800</v>
      </c>
      <c r="H30" s="2" t="n">
        <f aca="false" ca="false" dt2D="false" dtr="false" t="normal">1500*1.2</f>
        <v>1800</v>
      </c>
      <c r="J30" s="3" t="n">
        <f aca="false" ca="false" dt2D="false" dtr="false" t="normal">300*1.2</f>
        <v>360</v>
      </c>
      <c r="K30" s="3" t="n">
        <f aca="false" ca="false" dt2D="false" dtr="false" t="normal">300*1.2</f>
        <v>360</v>
      </c>
      <c r="L30" s="0" t="n">
        <f aca="false" ca="false" dt2D="false" dtr="false" t="normal">350*1.2</f>
        <v>420</v>
      </c>
      <c r="M30" s="0" t="n">
        <f aca="false" ca="false" dt2D="false" dtr="false" t="normal">350*1.2</f>
        <v>420</v>
      </c>
      <c r="N30" s="0" t="n">
        <f aca="false" ca="false" dt2D="false" dtr="false" t="normal">350*1.2</f>
        <v>420</v>
      </c>
      <c r="O30" s="0" t="n">
        <f aca="false" ca="false" dt2D="false" dtr="false" t="normal">500*1.2</f>
        <v>600</v>
      </c>
      <c r="P30" s="0" t="n">
        <f aca="false" ca="false" dt2D="false" dtr="false" t="normal">600*1.2</f>
        <v>720</v>
      </c>
      <c r="Q30" s="0" t="n">
        <f aca="false" ca="false" dt2D="false" dtr="false" t="normal">600*1.2</f>
        <v>720</v>
      </c>
      <c r="R30" s="0" t="n">
        <f aca="false" ca="false" dt2D="false" dtr="false" t="normal">600*1.2</f>
        <v>720</v>
      </c>
      <c r="T30" s="0" t="n">
        <v>1620</v>
      </c>
      <c r="U30" s="0" t="n">
        <v>1620</v>
      </c>
      <c r="V30" s="0" t="n">
        <v>2000</v>
      </c>
      <c r="W30" s="0" t="n">
        <v>3050</v>
      </c>
    </row>
    <row customHeight="true" hidden="false" ht="29.9021606445313" outlineLevel="0" r="31">
      <c r="A31" s="1" t="s">
        <v>58</v>
      </c>
    </row>
    <row outlineLevel="0" r="32">
      <c r="A32" s="1" t="s">
        <v>59</v>
      </c>
      <c r="J32" s="3" t="n">
        <f aca="false" ca="false" dt2D="false" dtr="false" t="normal">60*1.2</f>
        <v>72</v>
      </c>
      <c r="K32" s="3" t="n">
        <f aca="false" ca="false" dt2D="false" dtr="false" t="normal">60*1.2</f>
        <v>72</v>
      </c>
      <c r="L32" s="3" t="n">
        <f aca="false" ca="false" dt2D="false" dtr="false" t="normal">60*1.2</f>
        <v>72</v>
      </c>
      <c r="M32" s="3" t="n">
        <f aca="false" ca="false" dt2D="false" dtr="false" t="normal">60*1.2</f>
        <v>72</v>
      </c>
      <c r="N32" s="3" t="n">
        <f aca="false" ca="false" dt2D="false" dtr="false" t="normal">60*1.2</f>
        <v>72</v>
      </c>
      <c r="O32" s="0" t="n">
        <f aca="false" ca="false" dt2D="false" dtr="false" t="normal">70*1.2</f>
        <v>84</v>
      </c>
      <c r="P32" s="0" t="n">
        <f aca="false" ca="false" dt2D="false" dtr="false" t="normal">70*1.2</f>
        <v>84</v>
      </c>
      <c r="Q32" s="0" t="n">
        <f aca="false" ca="false" dt2D="false" dtr="false" t="normal">70*1.2</f>
        <v>84</v>
      </c>
      <c r="R32" s="0" t="n">
        <f aca="false" ca="false" dt2D="false" dtr="false" t="normal">70*1.2</f>
        <v>84</v>
      </c>
    </row>
    <row outlineLevel="0" r="33">
      <c r="A33" s="1" t="s">
        <v>60</v>
      </c>
      <c r="J33" s="3" t="n">
        <f aca="false" ca="false" dt2D="false" dtr="false" t="normal">200*1.2</f>
        <v>240</v>
      </c>
      <c r="K33" s="3" t="n">
        <f aca="false" ca="false" dt2D="false" dtr="false" t="normal">200*1.2</f>
        <v>240</v>
      </c>
      <c r="L33" s="3" t="n">
        <f aca="false" ca="false" dt2D="false" dtr="false" t="normal">200*1.2</f>
        <v>240</v>
      </c>
      <c r="M33" s="3" t="n">
        <f aca="false" ca="false" dt2D="false" dtr="false" t="normal">200*1.2</f>
        <v>240</v>
      </c>
      <c r="N33" s="3" t="n">
        <f aca="false" ca="false" dt2D="false" dtr="false" t="normal">200*1.2</f>
        <v>240</v>
      </c>
      <c r="O33" s="3" t="n">
        <f aca="false" ca="false" dt2D="false" dtr="false" t="normal">200*1.2</f>
        <v>240</v>
      </c>
      <c r="P33" s="3" t="n">
        <f aca="false" ca="false" dt2D="false" dtr="false" t="normal">200*1.2</f>
        <v>240</v>
      </c>
      <c r="Q33" s="3" t="n">
        <f aca="false" ca="false" dt2D="false" dtr="false" t="normal">200*1.2</f>
        <v>240</v>
      </c>
      <c r="R33" s="3" t="n">
        <f aca="false" ca="false" dt2D="false" dtr="false" t="normal">200*1.2</f>
        <v>240</v>
      </c>
    </row>
    <row outlineLevel="0" r="34">
      <c r="A34" s="1" t="s">
        <v>61</v>
      </c>
      <c r="J34" s="3" t="n">
        <f aca="false" ca="false" dt2D="false" dtr="false" t="normal">230*1.2</f>
        <v>276</v>
      </c>
      <c r="K34" s="3" t="n">
        <f aca="false" ca="false" dt2D="false" dtr="false" t="normal">230*1.2</f>
        <v>276</v>
      </c>
      <c r="L34" s="3" t="n">
        <f aca="false" ca="false" dt2D="false" dtr="false" t="normal">230*1.2</f>
        <v>276</v>
      </c>
      <c r="M34" s="3" t="n">
        <f aca="false" ca="false" dt2D="false" dtr="false" t="normal">230*1.2</f>
        <v>276</v>
      </c>
      <c r="N34" s="3" t="n">
        <f aca="false" ca="false" dt2D="false" dtr="false" t="normal">230*1.2</f>
        <v>276</v>
      </c>
      <c r="O34" s="0" t="n">
        <f aca="false" ca="false" dt2D="false" dtr="false" t="normal">250*1.2</f>
        <v>300</v>
      </c>
      <c r="P34" s="0" t="n">
        <f aca="false" ca="false" dt2D="false" dtr="false" t="normal">250*1.2</f>
        <v>300</v>
      </c>
      <c r="Q34" s="0" t="n">
        <f aca="false" ca="false" dt2D="false" dtr="false" t="normal">250*1.2</f>
        <v>300</v>
      </c>
      <c r="R34" s="0" t="n">
        <f aca="false" ca="false" dt2D="false" dtr="false" t="normal">250*1.2</f>
        <v>300</v>
      </c>
    </row>
    <row outlineLevel="0" r="35">
      <c r="A35" s="1" t="s">
        <v>62</v>
      </c>
      <c r="J35" s="3" t="n">
        <f aca="false" ca="false" dt2D="false" dtr="false" t="normal">40*1.2</f>
        <v>48</v>
      </c>
      <c r="K35" s="3" t="n">
        <f aca="false" ca="false" dt2D="false" dtr="false" t="normal">40*1.2</f>
        <v>48</v>
      </c>
      <c r="L35" s="3" t="n">
        <f aca="false" ca="false" dt2D="false" dtr="false" t="normal">40*1.2</f>
        <v>48</v>
      </c>
      <c r="M35" s="3" t="n">
        <f aca="false" ca="false" dt2D="false" dtr="false" t="normal">40*1.2</f>
        <v>48</v>
      </c>
      <c r="N35" s="3" t="n">
        <f aca="false" ca="false" dt2D="false" dtr="false" t="normal">40*1.2</f>
        <v>48</v>
      </c>
      <c r="O35" s="3" t="n">
        <f aca="false" ca="false" dt2D="false" dtr="false" t="normal">40*1.2</f>
        <v>48</v>
      </c>
      <c r="P35" s="3" t="n">
        <f aca="false" ca="false" dt2D="false" dtr="false" t="normal">40*1.2</f>
        <v>48</v>
      </c>
      <c r="Q35" s="3" t="n">
        <f aca="false" ca="false" dt2D="false" dtr="false" t="normal">40*1.2</f>
        <v>48</v>
      </c>
      <c r="R35" s="3" t="n">
        <f aca="false" ca="false" dt2D="false" dtr="false" t="normal">40*1.2</f>
        <v>48</v>
      </c>
    </row>
  </sheetData>
  <mergeCells count="3">
    <mergeCell ref="B1:H1"/>
    <mergeCell ref="J1:R1"/>
    <mergeCell ref="T1:W1"/>
  </mergeCells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2025-12-25T06:25:36Z</dcterms:modified>
</cp:coreProperties>
</file>