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<sst xmlns="http://schemas.openxmlformats.org/spreadsheetml/2006/main" xmlns:a="http://schemas.openxmlformats.org/drawingml/2006/main" xmlns:a15="http://schemas.microsoft.com/office/drawing/2012/main" xmlns:asvg="http://schemas.microsoft.com/office/drawing/2016/SVG/main" xmlns:c="http://schemas.openxmlformats.org/drawingml/2006/chart" xmlns:co="http://ncloudtech.com" xmlns:co-ooxml="http://ncloudtech.com/ooxml" xmlns:m="http://schemas.openxmlformats.org/officeDocument/2006/math" xmlns:mc="http://schemas.openxmlformats.org/markup-compatibility/2006" xmlns:o="urn:schemas-microsoft-com:office:office" xmlns:p="http://schemas.openxmlformats.org/presentationml/2006/main" xmlns:pic="http://schemas.openxmlformats.org/drawingml/2006/picture" xmlns:r="http://schemas.openxmlformats.org/officeDocument/2006/relationships" xmlns:s="http://schemas.openxmlformats.org/officeDocument/2006/sharedTypes" xmlns:sl="http://schemas.openxmlformats.org/schemaLibrary/2006/main" xmlns:v="urn:schemas-microsoft-com:vml" xmlns:w="http://schemas.openxmlformats.org/wordprocessingml/2006/main" xmlns:w10="urn:schemas-microsoft-com:office:word" xmlns:w14="http://schemas.microsoft.com/office/word/2010/wordml" xmlns:w15="http://schemas.microsoft.com/office/word/2012/wordml" xmlns:wp="http://schemas.openxmlformats.org/drawingml/2006/wordprocessingDrawing" xmlns:wpg="http://schemas.microsoft.com/office/word/2010/wordprocessingGroup" xmlns:wps="http://schemas.microsoft.com/office/word/2010/wordprocessingShape" xmlns:x="urn:schemas-microsoft-com:office:excel" xmlns:x14="http://schemas.microsoft.com/office/spreadsheetml/2009/9/main" xmlns:xdr="http://schemas.openxmlformats.org/drawingml/2006/spreadsheetDrawing" xmlns:xm="http://schemas.microsoft.com/office/excel/2006/main" mc:Ignorable="co co-ooxml w14 x14 w15">
  <si>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Calibri"/>
        <b val="true"/>
        <sz val="10"/>
      </rPr>
      <t>Грузовые автомобили</t>
    </r>
    <r>
      <t xml:space="preserve">
</t>
    </r>
    <r>
      <rPr>
        <rFont val="Calibri"/>
        <b val="true"/>
        <sz val="10"/>
      </rPr>
      <t>230-445 мм</t>
    </r>
  </si>
  <si>
    <r>
      <rPr>
        <rFont val="Calibri"/>
        <b val="true"/>
        <sz val="10"/>
      </rPr>
      <t>Легковые а/м 215-275 мм</t>
    </r>
    <r>
      <t xml:space="preserve">
</t>
    </r>
    <r>
      <rPr>
        <rFont val="Calibri"/>
        <b val="true"/>
        <sz val="10"/>
      </rPr>
      <t>Ма</t>
    </r>
    <r>
      <rPr>
        <rFont val="Calibri"/>
        <b val="true"/>
        <sz val="10"/>
      </rPr>
      <t>логрузные</t>
    </r>
  </si>
  <si>
    <r>
      <rPr>
        <rFont val="Calibri"/>
        <b val="true"/>
        <sz val="10"/>
      </rPr>
      <t>Л</t>
    </r>
    <r>
      <rPr>
        <rFont val="Calibri"/>
        <b val="true"/>
        <sz val="10"/>
      </rPr>
      <t>егк</t>
    </r>
    <r>
      <rPr>
        <rFont val="Calibri"/>
        <b val="true"/>
        <sz val="10"/>
      </rPr>
      <t>овые автомобили до 205 мм</t>
    </r>
  </si>
  <si>
    <t>Название материалов</t>
  </si>
  <si>
    <r>
      <rPr>
        <rFont val="Calibri"/>
        <b val="true"/>
        <sz val="10"/>
      </rPr>
      <t>холодная</t>
    </r>
  </si>
  <si>
    <r>
      <rPr>
        <rFont val="Calibri"/>
        <b val="true"/>
        <sz val="10"/>
      </rPr>
      <t>горячая</t>
    </r>
  </si>
  <si>
    <r>
      <rPr>
        <rFont val="Calibri"/>
        <sz val="10"/>
      </rPr>
      <t>Пластырь</t>
    </r>
  </si>
  <si>
    <r>
      <rPr>
        <rFont val="Calibri"/>
        <sz val="10"/>
      </rPr>
      <t>R</t>
    </r>
    <r>
      <rPr>
        <rFont val="Calibri"/>
        <sz val="10"/>
      </rPr>
      <t xml:space="preserve"> 10</t>
    </r>
  </si>
  <si>
    <r>
      <rPr>
        <rFont val="Calibri"/>
        <sz val="10"/>
      </rPr>
      <t>R 11</t>
    </r>
  </si>
  <si>
    <r>
      <rPr>
        <rFont val="Calibri"/>
        <sz val="10"/>
      </rPr>
      <t>R 12</t>
    </r>
  </si>
  <si>
    <r>
      <rPr>
        <rFont val="Calibri"/>
        <sz val="10"/>
      </rPr>
      <t>R 13</t>
    </r>
    <r>
      <rPr>
        <rFont val="Calibri"/>
        <sz val="10"/>
      </rPr>
      <t xml:space="preserve">, </t>
    </r>
    <r>
      <rPr>
        <rFont val="Calibri"/>
        <sz val="10"/>
      </rPr>
      <t>R 14</t>
    </r>
  </si>
  <si>
    <r>
      <rPr>
        <rFont val="Calibri"/>
        <sz val="10"/>
      </rPr>
      <t>R 15</t>
    </r>
  </si>
  <si>
    <r>
      <rPr>
        <rFont val="Calibri"/>
        <sz val="10"/>
      </rPr>
      <t>R 18</t>
    </r>
  </si>
  <si>
    <r>
      <rPr>
        <rFont val="Calibri"/>
        <sz val="10"/>
      </rPr>
      <t>R 19</t>
    </r>
  </si>
  <si>
    <r>
      <rPr>
        <rFont val="Calibri"/>
        <sz val="10"/>
      </rPr>
      <t>R 20</t>
    </r>
  </si>
  <si>
    <r>
      <rPr>
        <rFont val="Calibri"/>
        <sz val="10"/>
      </rPr>
      <t>R 22</t>
    </r>
    <r>
      <rPr>
        <rFont val="Calibri"/>
        <sz val="10"/>
      </rPr>
      <t xml:space="preserve"> (СТ-2</t>
    </r>
    <r>
      <rPr>
        <rFont val="Calibri"/>
        <sz val="10"/>
      </rPr>
      <t>2</t>
    </r>
    <r>
      <rPr>
        <rFont val="Calibri"/>
        <sz val="10"/>
      </rPr>
      <t>)</t>
    </r>
  </si>
  <si>
    <r>
      <rPr>
        <rFont val="Calibri"/>
        <sz val="10"/>
      </rPr>
      <t>R 25</t>
    </r>
  </si>
  <si>
    <r>
      <rPr>
        <rFont val="Calibri"/>
        <sz val="10"/>
      </rPr>
      <t>R 33</t>
    </r>
  </si>
  <si>
    <r>
      <rPr>
        <rFont val="Calibri"/>
        <sz val="10"/>
      </rPr>
      <t xml:space="preserve">R </t>
    </r>
    <r>
      <rPr>
        <rFont val="Calibri"/>
        <sz val="10"/>
      </rPr>
      <t>35</t>
    </r>
  </si>
  <si>
    <r>
      <rPr>
        <rFont val="Calibri"/>
        <sz val="10"/>
      </rPr>
      <t xml:space="preserve">R 40, </t>
    </r>
    <r>
      <rPr>
        <rFont val="Calibri"/>
        <sz val="10"/>
      </rPr>
      <t>Ст-40</t>
    </r>
  </si>
  <si>
    <r>
      <rPr>
        <rFont val="Calibri"/>
        <sz val="10"/>
      </rPr>
      <t>R 42</t>
    </r>
  </si>
  <si>
    <r>
      <rPr>
        <rFont val="Calibri"/>
        <sz val="10"/>
      </rPr>
      <t>R 44</t>
    </r>
  </si>
  <si>
    <r>
      <rPr>
        <rFont val="Calibri"/>
        <sz val="10"/>
      </rPr>
      <t>R 45</t>
    </r>
  </si>
  <si>
    <r>
      <rPr>
        <rFont val="Calibri"/>
        <sz val="10"/>
      </rPr>
      <t>R 82</t>
    </r>
  </si>
  <si>
    <r>
      <rPr>
        <rFont val="Calibri"/>
        <sz val="10"/>
      </rPr>
      <t>R 84</t>
    </r>
  </si>
  <si>
    <r>
      <rPr>
        <rFont val="Calibri"/>
        <sz val="10"/>
      </rPr>
      <t>R 86</t>
    </r>
  </si>
  <si>
    <r>
      <rPr>
        <rFont val="Calibri"/>
        <sz val="10"/>
      </rPr>
      <t>RS 25</t>
    </r>
    <r>
      <rPr>
        <rFont val="Calibri"/>
        <sz val="10"/>
      </rPr>
      <t>, 26</t>
    </r>
  </si>
  <si>
    <r>
      <rPr>
        <rFont val="Calibri"/>
        <sz val="10"/>
      </rPr>
      <t>RS 28</t>
    </r>
  </si>
  <si>
    <r>
      <rPr>
        <rFont val="Calibri"/>
        <sz val="10"/>
      </rPr>
      <t>RS 35</t>
    </r>
  </si>
  <si>
    <r>
      <rPr>
        <rFont val="Calibri"/>
        <sz val="10"/>
      </rPr>
      <t>RS 40</t>
    </r>
  </si>
  <si>
    <r>
      <rPr>
        <rFont val="Calibri"/>
        <sz val="10"/>
      </rPr>
      <t>RS 42</t>
    </r>
  </si>
  <si>
    <r>
      <rPr>
        <rFont val="Calibri"/>
        <sz val="10"/>
      </rPr>
      <t>RS 44</t>
    </r>
  </si>
  <si>
    <r>
      <rPr>
        <rFont val="Calibri"/>
        <sz val="10"/>
      </rPr>
      <t>RS 45</t>
    </r>
  </si>
  <si>
    <r>
      <rPr>
        <rFont val="Calibri"/>
        <sz val="10"/>
      </rPr>
      <t>RS 46</t>
    </r>
  </si>
  <si>
    <r>
      <rPr>
        <rFont val="Calibri"/>
        <sz val="10"/>
      </rPr>
      <t>RS 451</t>
    </r>
  </si>
  <si>
    <r>
      <rPr>
        <rFont val="Calibri"/>
        <sz val="10"/>
      </rPr>
      <t xml:space="preserve">RS </t>
    </r>
    <r>
      <rPr>
        <rFont val="Calibri"/>
        <sz val="10"/>
      </rPr>
      <t>531</t>
    </r>
  </si>
  <si>
    <r>
      <rPr>
        <rFont val="Calibri"/>
        <sz val="10"/>
      </rPr>
      <t>RS 539</t>
    </r>
  </si>
  <si>
    <r>
      <rPr>
        <rFont val="Calibri"/>
        <sz val="10"/>
      </rPr>
      <t xml:space="preserve">RS </t>
    </r>
    <r>
      <rPr>
        <rFont val="Calibri"/>
        <sz val="10"/>
      </rPr>
      <t>541</t>
    </r>
  </si>
  <si>
    <r>
      <rPr>
        <rFont val="Calibri"/>
        <sz val="10"/>
      </rPr>
      <t>CRS</t>
    </r>
    <r>
      <rPr>
        <rFont val="Calibri"/>
        <sz val="10"/>
      </rPr>
      <t xml:space="preserve"> 42-c</t>
    </r>
    <r>
      <rPr>
        <rFont val="Calibri"/>
        <sz val="10"/>
      </rPr>
      <t>/a</t>
    </r>
  </si>
  <si>
    <r>
      <rPr>
        <rFont val="Calibri"/>
        <sz val="10"/>
      </rPr>
      <t xml:space="preserve">CRS </t>
    </r>
    <r>
      <rPr>
        <rFont val="Calibri"/>
        <sz val="10"/>
      </rPr>
      <t>44-c</t>
    </r>
    <r>
      <rPr>
        <rFont val="Calibri"/>
        <sz val="10"/>
      </rPr>
      <t>/a</t>
    </r>
  </si>
  <si>
    <r>
      <rPr>
        <rFont val="Calibri"/>
        <sz val="10"/>
      </rPr>
      <t>CRS</t>
    </r>
    <r>
      <rPr>
        <rFont val="Calibri"/>
        <sz val="10"/>
      </rPr>
      <t xml:space="preserve"> 45-d</t>
    </r>
  </si>
  <si>
    <r>
      <rPr>
        <rFont val="Calibri"/>
        <sz val="10"/>
      </rPr>
      <t>Du-0</t>
    </r>
  </si>
  <si>
    <r>
      <rPr>
        <rFont val="Calibri"/>
        <sz val="10"/>
      </rPr>
      <t>Du-1</t>
    </r>
  </si>
  <si>
    <r>
      <rPr>
        <rFont val="Calibri"/>
        <sz val="10"/>
      </rPr>
      <t>Du-2</t>
    </r>
  </si>
  <si>
    <r>
      <rPr>
        <rFont val="Calibri"/>
        <sz val="10"/>
      </rPr>
      <t>Du-3</t>
    </r>
  </si>
  <si>
    <r>
      <rPr>
        <rFont val="Calibri"/>
        <sz val="10"/>
      </rPr>
      <t xml:space="preserve">D </t>
    </r>
    <r>
      <rPr>
        <rFont val="Calibri"/>
        <sz val="10"/>
      </rPr>
      <t>4</t>
    </r>
    <r>
      <rPr>
        <rFont val="Calibri"/>
        <sz val="10"/>
      </rPr>
      <t xml:space="preserve"> </t>
    </r>
  </si>
  <si>
    <r>
      <rPr>
        <rFont val="Calibri"/>
        <sz val="10"/>
      </rPr>
      <t>D 5</t>
    </r>
  </si>
  <si>
    <r>
      <rPr>
        <rFont val="Calibri"/>
        <sz val="10"/>
      </rPr>
      <t>D 6</t>
    </r>
  </si>
  <si>
    <r>
      <rPr>
        <rFont val="Calibri"/>
        <sz val="10"/>
      </rPr>
      <t>D 7</t>
    </r>
  </si>
  <si>
    <r>
      <rPr>
        <rFont val="Calibri"/>
        <sz val="10"/>
      </rPr>
      <t>D 9</t>
    </r>
  </si>
  <si>
    <r>
      <rPr>
        <rFont val="Calibri"/>
        <sz val="10"/>
      </rPr>
      <t>Грибок</t>
    </r>
  </si>
  <si>
    <r>
      <rPr>
        <rFont val="Calibri"/>
        <sz val="10"/>
      </rPr>
      <t>Ножки грибк</t>
    </r>
    <r>
      <rPr>
        <rFont val="Calibri"/>
        <sz val="10"/>
      </rPr>
      <t xml:space="preserve">ов </t>
    </r>
    <r>
      <rPr>
        <rFont val="Calibri"/>
        <sz val="10"/>
      </rPr>
      <t>N-9</t>
    </r>
  </si>
  <si>
    <r>
      <rPr>
        <rFont val="Calibri"/>
        <sz val="10"/>
      </rPr>
      <t>Ножки гриб</t>
    </r>
    <r>
      <rPr>
        <rFont val="Calibri"/>
        <sz val="10"/>
      </rPr>
      <t xml:space="preserve">ков </t>
    </r>
    <r>
      <rPr>
        <rFont val="Calibri"/>
        <sz val="10"/>
      </rPr>
      <t>N-1</t>
    </r>
    <r>
      <rPr>
        <rFont val="Calibri"/>
        <sz val="10"/>
      </rPr>
      <t>2</t>
    </r>
  </si>
  <si>
    <r>
      <rPr>
        <rFont val="Calibri"/>
        <sz val="10"/>
      </rPr>
      <t>Нож</t>
    </r>
    <r>
      <rPr>
        <rFont val="Calibri"/>
        <sz val="10"/>
      </rPr>
      <t xml:space="preserve">ки </t>
    </r>
    <r>
      <rPr>
        <rFont val="Calibri"/>
        <sz val="10"/>
      </rPr>
      <t xml:space="preserve">грибков </t>
    </r>
    <r>
      <rPr>
        <rFont val="Calibri"/>
        <sz val="10"/>
      </rPr>
      <t>N-15</t>
    </r>
  </si>
  <si>
    <r>
      <rPr>
        <rFont val="Calibri"/>
        <sz val="10"/>
      </rPr>
      <t xml:space="preserve">Ножки грибков </t>
    </r>
    <r>
      <rPr>
        <rFont val="Calibri"/>
        <sz val="10"/>
      </rPr>
      <t>N-18</t>
    </r>
  </si>
  <si>
    <r>
      <rPr>
        <rFont val="Calibri"/>
        <sz val="10"/>
      </rPr>
      <t>Удлинитель</t>
    </r>
  </si>
  <si>
    <r>
      <rPr>
        <rFont val="Calibri"/>
        <sz val="10"/>
      </rPr>
      <t>Удлин.вентеля пласт</t>
    </r>
  </si>
  <si>
    <r>
      <rPr>
        <rFont val="Calibri"/>
        <sz val="10"/>
      </rPr>
      <t>Удлин.вентеля м</t>
    </r>
    <r>
      <rPr>
        <rFont val="Calibri"/>
        <sz val="10"/>
      </rPr>
      <t>е</t>
    </r>
    <r>
      <rPr>
        <rFont val="Calibri"/>
        <sz val="10"/>
      </rPr>
      <t>тал</t>
    </r>
  </si>
  <si>
    <r>
      <rPr>
        <rFont val="Calibri"/>
        <sz val="10"/>
      </rPr>
      <t>Грузики</t>
    </r>
  </si>
  <si>
    <r>
      <rPr>
        <rFont val="Calibri"/>
        <sz val="10"/>
      </rPr>
      <t>Груз</t>
    </r>
    <r>
      <rPr>
        <rFont val="Calibri"/>
        <sz val="10"/>
      </rPr>
      <t xml:space="preserve"> </t>
    </r>
    <r>
      <rPr>
        <rFont val="Calibri"/>
        <sz val="10"/>
      </rPr>
      <t>самоклейка</t>
    </r>
    <r>
      <rPr>
        <rFont val="Calibri"/>
        <sz val="10"/>
      </rPr>
      <t xml:space="preserve"> 50гр</t>
    </r>
  </si>
  <si>
    <r>
      <rPr>
        <rFont val="Calibri"/>
        <sz val="10"/>
      </rPr>
      <t xml:space="preserve">Груз самоклейка </t>
    </r>
    <r>
      <rPr>
        <rFont val="Calibri"/>
        <sz val="10"/>
      </rPr>
      <t>25гр</t>
    </r>
  </si>
  <si>
    <r>
      <rPr>
        <rFont val="Calibri"/>
        <sz val="10"/>
      </rPr>
      <t>Груза 200-350 гр</t>
    </r>
  </si>
  <si>
    <r>
      <rPr>
        <rFont val="Calibri"/>
        <sz val="10"/>
      </rPr>
      <t>Груза 50-150 гр</t>
    </r>
  </si>
  <si>
    <r>
      <rPr>
        <rFont val="Calibri"/>
        <sz val="10"/>
      </rPr>
      <t>Флипер</t>
    </r>
  </si>
  <si>
    <r>
      <rPr>
        <rFont val="Calibri"/>
        <sz val="10"/>
      </rPr>
      <t>Камера УК-16</t>
    </r>
    <r>
      <rPr>
        <rFont val="Calibri"/>
        <sz val="10"/>
      </rPr>
      <t xml:space="preserve">, </t>
    </r>
    <r>
      <rPr>
        <rFont val="Calibri"/>
        <sz val="10"/>
      </rPr>
      <t>ФЛИПЕР R20</t>
    </r>
  </si>
  <si>
    <r>
      <rPr>
        <rFont val="Calibri"/>
        <sz val="10"/>
      </rPr>
      <t>Камера</t>
    </r>
  </si>
  <si>
    <r>
      <rPr>
        <rFont val="Calibri"/>
        <sz val="10"/>
      </rPr>
      <t>КАМЕРА 11.00</t>
    </r>
  </si>
  <si>
    <r>
      <rPr>
        <rFont val="Calibri"/>
        <sz val="10"/>
      </rPr>
      <t>КАМЕРА 7.50-16</t>
    </r>
  </si>
  <si>
    <r>
      <rPr>
        <rFont val="Calibri"/>
        <sz val="10"/>
      </rPr>
      <t>КАМЕРА 9.00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</si>
</sst>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Calibri"/>
      <b val="true"/>
      <sz val="10"/>
    </font>
    <font>
      <name val="Calibri"/>
      <sz val="10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vertical style="thin">
        <color rgb="000000" tint="0"/>
      </vertical>
      <horizontal style="thin">
        <color rgb="000000" tint="0"/>
      </horizontal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7">
    <xf applyFont="true" borderId="0" fillId="0" fontId="1" quotePrefix="false"/>
    <xf applyBorder="true" applyFont="true" borderId="1" fillId="0" fontId="0" quotePrefix="false"/>
    <xf applyAlignment="true" applyBorder="true" applyFont="true" borderId="1" fillId="0" fontId="2" quotePrefix="false">
      <alignment horizontal="center"/>
    </xf>
    <xf applyAlignment="true" applyBorder="true" applyFont="true" borderId="2" fillId="0" fontId="2" quotePrefix="false">
      <alignment horizontal="center"/>
    </xf>
    <xf applyAlignment="true" applyBorder="true" applyFont="true" borderId="1" fillId="0" fontId="3" quotePrefix="false">
      <alignment horizontal="center"/>
    </xf>
    <xf applyAlignment="true" applyBorder="true" applyFont="true" borderId="1" fillId="0" fontId="0" quotePrefix="false">
      <alignment horizontal="center"/>
    </xf>
    <xf applyBorder="true" applyFont="true" borderId="1" fillId="0" fontId="3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N59"/>
  <sheetViews>
    <sheetView showZeros="true" workbookViewId="0"/>
  </sheetViews>
  <sheetFormatPr baseColWidth="8" customHeight="false" defaultColWidth="10.7884703773945" defaultRowHeight="15" zeroHeight="false"/>
  <cols>
    <col customWidth="true" hidden="false" max="2" min="1" outlineLevel="0" style="0" width="27.0332619621213"/>
    <col customWidth="true" hidden="false" max="3" min="3" outlineLevel="0" style="0" width="21.9920217845442"/>
    <col bestFit="true" customWidth="true" max="4" min="4" outlineLevel="0" style="0" width="10.7884703773945"/>
    <col customWidth="true" hidden="false" max="5" min="5" outlineLevel="0" style="0" width="20.7148563601494"/>
    <col bestFit="true" customWidth="true" max="6" min="6" outlineLevel="0" style="0" width="10.7884703773945"/>
    <col customWidth="true" hidden="false" max="7" min="7" outlineLevel="0" style="0" width="21.1405759127319"/>
    <col customWidth="true" hidden="false" max="8" min="8" outlineLevel="0" style="0" width="17.4545503757435"/>
    <col bestFit="true" customWidth="true" max="16384" min="9" outlineLevel="0" style="0" width="10.7884703773945"/>
  </cols>
  <sheetData>
    <row outlineLevel="0" r="1">
      <c r="A1" s="1" t="n"/>
      <c r="B1" s="0" t="n"/>
      <c r="C1" s="2" t="s">
        <v>0</v>
      </c>
      <c r="D1" s="3" t="s"/>
      <c r="E1" s="2" t="s">
        <v>1</v>
      </c>
      <c r="F1" s="3" t="s"/>
      <c r="G1" s="2" t="s">
        <v>2</v>
      </c>
      <c r="H1" s="3" t="s"/>
      <c r="K1" t="n"/>
      <c r="M1" t="n"/>
    </row>
    <row outlineLevel="0" r="2">
      <c r="A2" s="1" t="n"/>
      <c r="B2" s="0" t="s">
        <v>3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  <c r="K2" t="n"/>
      <c r="L2" t="n"/>
      <c r="M2" t="n"/>
      <c r="N2" t="n"/>
    </row>
    <row outlineLevel="0" r="3">
      <c r="A3" s="4" t="s">
        <v>6</v>
      </c>
      <c r="B3" s="4" t="s">
        <v>7</v>
      </c>
      <c r="C3" s="5" t="n"/>
      <c r="D3" s="5" t="n"/>
      <c r="E3" s="4" t="n">
        <f aca="false" ca="false" dt2D="false" dtr="false" t="normal">300*1.2</f>
        <v>360</v>
      </c>
      <c r="F3" s="4" t="n">
        <f aca="false" ca="false" dt2D="false" dtr="false" t="normal">330*1.2</f>
        <v>396</v>
      </c>
      <c r="G3" s="4" t="n">
        <f aca="false" ca="false" dt2D="false" dtr="false" t="normal">240*1.2</f>
        <v>288</v>
      </c>
      <c r="H3" s="4" t="n">
        <f aca="false" ca="false" dt2D="false" dtr="false" t="normal">300*1.2</f>
        <v>360</v>
      </c>
      <c r="K3" t="n"/>
      <c r="L3" t="n"/>
      <c r="M3" t="n"/>
      <c r="N3" t="n"/>
    </row>
    <row outlineLevel="0" r="4">
      <c r="A4" s="4" t="s">
        <v>6</v>
      </c>
      <c r="B4" s="4" t="s">
        <v>8</v>
      </c>
      <c r="C4" s="5" t="n"/>
      <c r="D4" s="5" t="n"/>
      <c r="E4" s="4" t="n">
        <f aca="false" ca="false" dt2D="false" dtr="false" t="normal">400*1.2</f>
        <v>480</v>
      </c>
      <c r="F4" s="4" t="n">
        <f aca="false" ca="false" dt2D="false" dtr="false" t="normal">510*1.2</f>
        <v>612</v>
      </c>
      <c r="G4" s="4" t="n">
        <f aca="false" ca="false" dt2D="false" dtr="false" t="normal">360*1.2</f>
        <v>432</v>
      </c>
      <c r="H4" s="4" t="n">
        <f aca="false" ca="false" dt2D="false" dtr="false" t="normal">420*1.2</f>
        <v>504</v>
      </c>
      <c r="K4" t="n"/>
      <c r="L4" t="n"/>
      <c r="M4" t="n"/>
      <c r="N4" t="n"/>
    </row>
    <row outlineLevel="0" r="5">
      <c r="A5" s="4" t="s">
        <v>6</v>
      </c>
      <c r="B5" s="4" t="s">
        <v>9</v>
      </c>
      <c r="C5" s="5" t="n"/>
      <c r="D5" s="5" t="n"/>
      <c r="E5" s="4" t="n">
        <f aca="false" ca="false" dt2D="false" dtr="false" t="normal">460*1.2</f>
        <v>552</v>
      </c>
      <c r="F5" s="4" t="n">
        <f aca="false" ca="false" dt2D="false" dtr="false" t="normal">540*1.2</f>
        <v>648</v>
      </c>
      <c r="G5" s="4" t="n">
        <f aca="false" ca="false" dt2D="false" dtr="false" t="normal">380*1.2</f>
        <v>456</v>
      </c>
      <c r="H5" s="4" t="n">
        <f aca="false" ca="false" dt2D="false" dtr="false" t="normal">440*1.2</f>
        <v>528</v>
      </c>
      <c r="K5" t="n"/>
      <c r="L5" t="n"/>
      <c r="M5" t="n"/>
      <c r="N5" t="n"/>
    </row>
    <row outlineLevel="0" r="6">
      <c r="A6" s="4" t="s">
        <v>6</v>
      </c>
      <c r="B6" s="4" t="s">
        <v>10</v>
      </c>
      <c r="C6" s="4" t="n">
        <f aca="false" ca="false" dt2D="false" dtr="false" t="normal">650*1.2</f>
        <v>780</v>
      </c>
      <c r="D6" s="4" t="n">
        <f aca="false" ca="false" dt2D="false" dtr="false" t="normal">760*1.2</f>
        <v>912</v>
      </c>
      <c r="E6" s="4" t="n">
        <f aca="false" ca="false" dt2D="false" dtr="false" t="normal">480*1.2</f>
        <v>576</v>
      </c>
      <c r="F6" s="4" t="n">
        <f aca="false" ca="false" dt2D="false" dtr="false" t="normal">540*1.2</f>
        <v>648</v>
      </c>
      <c r="G6" s="4" t="n">
        <f aca="false" ca="false" dt2D="false" dtr="false" t="normal">410*1.2</f>
        <v>492</v>
      </c>
      <c r="H6" s="4" t="n">
        <f aca="false" ca="false" dt2D="false" dtr="false" t="normal">470*1.2</f>
        <v>564</v>
      </c>
      <c r="K6" t="n"/>
      <c r="L6" t="n"/>
      <c r="M6" t="n"/>
      <c r="N6" t="n"/>
    </row>
    <row outlineLevel="0" r="7">
      <c r="A7" s="4" t="s">
        <v>6</v>
      </c>
      <c r="B7" s="4" t="s">
        <v>11</v>
      </c>
      <c r="C7" s="4" t="n">
        <f aca="false" ca="false" dt2D="false" dtr="false" t="normal">710*1.2</f>
        <v>852</v>
      </c>
      <c r="D7" s="4" t="n">
        <f aca="false" ca="false" dt2D="false" dtr="false" t="normal">820*1.2</f>
        <v>984</v>
      </c>
      <c r="E7" s="4" t="n">
        <f aca="false" ca="false" dt2D="false" dtr="false" t="normal">480*1.2</f>
        <v>576</v>
      </c>
      <c r="F7" s="4" t="n">
        <f aca="false" ca="false" dt2D="false" dtr="false" t="normal">580*1.2</f>
        <v>696</v>
      </c>
      <c r="G7" s="4" t="n">
        <f aca="false" ca="false" dt2D="false" dtr="false" t="normal">440*1.2</f>
        <v>528</v>
      </c>
      <c r="H7" s="4" t="n">
        <f aca="false" ca="false" dt2D="false" dtr="false" t="normal">480*1.2</f>
        <v>576</v>
      </c>
      <c r="K7" t="n"/>
      <c r="L7" t="n"/>
      <c r="M7" t="n"/>
      <c r="N7" t="n"/>
    </row>
    <row outlineLevel="0" r="8">
      <c r="A8" s="4" t="s">
        <v>6</v>
      </c>
      <c r="B8" s="4" t="s">
        <v>12</v>
      </c>
      <c r="C8" s="4" t="n">
        <f aca="false" ca="false" dt2D="false" dtr="false" t="normal">760*1.2</f>
        <v>912</v>
      </c>
      <c r="D8" s="4" t="n">
        <f aca="false" ca="false" dt2D="false" dtr="false" t="normal">870*1.2</f>
        <v>1044</v>
      </c>
      <c r="E8" s="4" t="n">
        <f aca="false" ca="false" dt2D="false" dtr="false" t="normal">520*1.2</f>
        <v>624</v>
      </c>
      <c r="F8" s="4" t="n">
        <f aca="false" ca="false" dt2D="false" dtr="false" t="normal">600*1.2</f>
        <v>720</v>
      </c>
      <c r="G8" s="4" t="n">
        <f aca="false" ca="false" dt2D="false" dtr="false" t="normal">470*1.2</f>
        <v>564</v>
      </c>
      <c r="H8" s="4" t="n">
        <f aca="false" ca="false" dt2D="false" dtr="false" t="normal">520*1.2</f>
        <v>624</v>
      </c>
      <c r="K8" t="n"/>
      <c r="L8" t="n"/>
      <c r="M8" t="n"/>
      <c r="N8" t="n"/>
    </row>
    <row outlineLevel="0" r="9">
      <c r="A9" s="4" t="s">
        <v>6</v>
      </c>
      <c r="B9" s="4" t="s">
        <v>13</v>
      </c>
      <c r="C9" s="4" t="n">
        <f aca="false" ca="false" dt2D="false" dtr="false" t="normal">820*1.2</f>
        <v>984</v>
      </c>
      <c r="D9" s="4" t="n">
        <f aca="false" ca="false" dt2D="false" dtr="false" t="normal">910*1.2</f>
        <v>1092</v>
      </c>
      <c r="E9" s="4" t="n">
        <f aca="false" ca="false" dt2D="false" dtr="false" t="normal">580*1.2</f>
        <v>696</v>
      </c>
      <c r="F9" s="4" t="n">
        <f aca="false" ca="false" dt2D="false" dtr="false" t="normal">650*1.2</f>
        <v>780</v>
      </c>
      <c r="G9" s="4" t="n">
        <f aca="false" ca="false" dt2D="false" dtr="false" t="normal">520*1.2</f>
        <v>624</v>
      </c>
      <c r="H9" s="4" t="n">
        <f aca="false" ca="false" dt2D="false" dtr="false" t="normal">580*1.2</f>
        <v>696</v>
      </c>
      <c r="K9" t="n"/>
      <c r="L9" t="n"/>
      <c r="M9" t="n"/>
      <c r="N9" t="n"/>
    </row>
    <row outlineLevel="0" r="10">
      <c r="A10" s="4" t="s">
        <v>6</v>
      </c>
      <c r="B10" s="4" t="s">
        <v>14</v>
      </c>
      <c r="C10" s="4" t="n">
        <f aca="false" ca="false" dt2D="false" dtr="false" t="normal">840*1.2</f>
        <v>1008</v>
      </c>
      <c r="D10" s="4" t="n">
        <f aca="false" ca="false" dt2D="false" dtr="false" t="normal">950*1.2</f>
        <v>1140</v>
      </c>
      <c r="E10" s="4" t="n">
        <f aca="false" ca="false" dt2D="false" dtr="false" t="normal">590*1.2</f>
        <v>708</v>
      </c>
      <c r="F10" s="4" t="n">
        <f aca="false" ca="false" dt2D="false" dtr="false" t="normal">700*1.2</f>
        <v>840</v>
      </c>
      <c r="G10" s="4" t="n">
        <f aca="false" ca="false" dt2D="false" dtr="false" t="normal">530*1.2</f>
        <v>636</v>
      </c>
      <c r="H10" s="4" t="n">
        <f aca="false" ca="false" dt2D="false" dtr="false" t="normal">600*1.2</f>
        <v>720</v>
      </c>
      <c r="K10" t="n"/>
      <c r="L10" t="n"/>
      <c r="M10" t="n"/>
      <c r="N10" t="n"/>
    </row>
    <row outlineLevel="0" r="11">
      <c r="A11" s="4" t="s">
        <v>6</v>
      </c>
      <c r="B11" s="4" t="s">
        <v>15</v>
      </c>
      <c r="C11" s="4" t="n">
        <f aca="false" ca="false" dt2D="false" dtr="false" t="normal">710*1.2</f>
        <v>852</v>
      </c>
      <c r="D11" s="4" t="n">
        <f aca="false" ca="false" dt2D="false" dtr="false" t="normal">820*1.2</f>
        <v>984</v>
      </c>
      <c r="E11" s="4" t="n">
        <f aca="false" ca="false" dt2D="false" dtr="false" t="normal">590*1.2</f>
        <v>708</v>
      </c>
      <c r="F11" s="4" t="n">
        <f aca="false" ca="false" dt2D="false" dtr="false" t="normal">700*1.2</f>
        <v>840</v>
      </c>
      <c r="G11" s="4" t="n">
        <f aca="false" ca="false" dt2D="false" dtr="false" t="normal">540*1.2</f>
        <v>648</v>
      </c>
      <c r="H11" s="4" t="n">
        <f aca="false" ca="false" dt2D="false" dtr="false" t="normal">610*1.2</f>
        <v>732</v>
      </c>
      <c r="K11" t="n"/>
      <c r="L11" t="n"/>
      <c r="M11" t="n"/>
      <c r="N11" t="n"/>
    </row>
    <row outlineLevel="0" r="12">
      <c r="A12" s="4" t="s">
        <v>6</v>
      </c>
      <c r="B12" s="4" t="s">
        <v>16</v>
      </c>
      <c r="C12" s="4" t="n">
        <f aca="false" ca="false" dt2D="false" dtr="false" t="normal">970*1.2</f>
        <v>1164</v>
      </c>
      <c r="D12" s="4" t="n">
        <f aca="false" ca="false" dt2D="false" dtr="false" t="normal">1080*1.2</f>
        <v>1296</v>
      </c>
      <c r="E12" s="4" t="n">
        <f aca="false" ca="false" dt2D="false" dtr="false" t="normal">840*1.2</f>
        <v>1008</v>
      </c>
      <c r="F12" s="4" t="n">
        <f aca="false" ca="false" dt2D="false" dtr="false" t="normal">930*1.2</f>
        <v>1116</v>
      </c>
      <c r="G12" s="4" t="n">
        <f aca="false" ca="false" dt2D="false" dtr="false" t="normal">720*1.2</f>
        <v>864</v>
      </c>
      <c r="H12" s="4" t="n">
        <f aca="false" ca="false" dt2D="false" dtr="false" t="normal">840*1.2</f>
        <v>1008</v>
      </c>
      <c r="K12" t="n"/>
      <c r="L12" t="n"/>
      <c r="M12" t="n"/>
      <c r="N12" t="n"/>
    </row>
    <row outlineLevel="0" r="13">
      <c r="A13" s="4" t="s">
        <v>6</v>
      </c>
      <c r="B13" s="4" t="s">
        <v>17</v>
      </c>
      <c r="C13" s="4" t="n">
        <f aca="false" ca="false" dt2D="false" dtr="false" t="normal">1040*1.2</f>
        <v>1248</v>
      </c>
      <c r="D13" s="4" t="n">
        <f aca="false" ca="false" dt2D="false" dtr="false" t="normal">1200*1.2</f>
        <v>1440</v>
      </c>
      <c r="E13" s="4" t="n">
        <f aca="false" ca="false" dt2D="false" dtr="false" t="normal">880*1.2</f>
        <v>1056</v>
      </c>
      <c r="F13" s="4" t="n">
        <f aca="false" ca="false" dt2D="false" dtr="false" t="normal">960*1.2</f>
        <v>1152</v>
      </c>
      <c r="G13" s="4" t="n">
        <f aca="false" ca="false" dt2D="false" dtr="false" t="normal">820*1.2</f>
        <v>984</v>
      </c>
      <c r="H13" s="4" t="n">
        <f aca="false" ca="false" dt2D="false" dtr="false" t="normal">930*1.2</f>
        <v>1116</v>
      </c>
      <c r="K13" t="n"/>
      <c r="L13" t="n"/>
      <c r="M13" t="n"/>
      <c r="N13" t="n"/>
    </row>
    <row outlineLevel="0" r="14">
      <c r="A14" s="4" t="s">
        <v>6</v>
      </c>
      <c r="B14" s="4" t="s">
        <v>18</v>
      </c>
      <c r="C14" s="4" t="n">
        <f aca="false" ca="false" dt2D="false" dtr="false" t="normal">1590*1.2</f>
        <v>1908</v>
      </c>
      <c r="D14" s="4" t="n">
        <f aca="false" ca="false" dt2D="false" dtr="false" t="normal">1440*1.2</f>
        <v>1728</v>
      </c>
      <c r="E14" s="4" t="n">
        <f aca="false" ca="false" dt2D="false" dtr="false" t="normal">1180*1.2</f>
        <v>1416</v>
      </c>
      <c r="F14" s="4" t="n">
        <f aca="false" ca="false" dt2D="false" dtr="false" t="normal">1300*1.2</f>
        <v>1560</v>
      </c>
      <c r="G14" s="4" t="n">
        <f aca="false" ca="false" dt2D="false" dtr="false" t="normal">1140*1.2</f>
        <v>1368</v>
      </c>
      <c r="H14" s="4" t="n">
        <f aca="false" ca="false" dt2D="false" dtr="false" t="normal">1240*1.2</f>
        <v>1488</v>
      </c>
      <c r="K14" t="n"/>
      <c r="L14" t="n"/>
      <c r="M14" t="n"/>
      <c r="N14" t="n"/>
    </row>
    <row outlineLevel="0" r="15">
      <c r="A15" s="4" t="s">
        <v>6</v>
      </c>
      <c r="B15" s="4" t="s">
        <v>19</v>
      </c>
      <c r="C15" s="4" t="n">
        <f aca="false" ca="false" dt2D="false" dtr="false" t="normal">1260*1.2</f>
        <v>1512</v>
      </c>
      <c r="D15" s="4" t="n">
        <f aca="false" ca="false" dt2D="false" dtr="false" t="normal">1320*1.2</f>
        <v>1584</v>
      </c>
      <c r="E15" s="4" t="n">
        <f aca="false" ca="false" dt2D="false" dtr="false" t="normal">1060*1.2</f>
        <v>1272</v>
      </c>
      <c r="F15" s="4" t="n">
        <f aca="false" ca="false" dt2D="false" dtr="false" t="normal">1180*1.2</f>
        <v>1416</v>
      </c>
      <c r="G15" s="5" t="n"/>
      <c r="H15" s="5" t="n"/>
      <c r="K15" t="n"/>
      <c r="L15" t="n"/>
      <c r="M15" t="n"/>
      <c r="N15" t="n"/>
    </row>
    <row outlineLevel="0" r="16">
      <c r="A16" s="4" t="s">
        <v>6</v>
      </c>
      <c r="B16" s="4" t="s">
        <v>20</v>
      </c>
      <c r="C16" s="4" t="n">
        <f aca="false" ca="false" dt2D="false" dtr="false" t="normal">1320*1.2</f>
        <v>1584</v>
      </c>
      <c r="D16" s="4" t="n">
        <f aca="false" ca="false" dt2D="false" dtr="false" t="normal">1500*1.2</f>
        <v>1800</v>
      </c>
      <c r="E16" s="5" t="n"/>
      <c r="F16" s="5" t="n"/>
      <c r="G16" s="5" t="n"/>
      <c r="H16" s="5" t="n"/>
      <c r="K16" t="n"/>
      <c r="L16" t="n"/>
      <c r="M16" t="n"/>
      <c r="N16" t="n"/>
    </row>
    <row outlineLevel="0" r="17">
      <c r="A17" s="4" t="s">
        <v>6</v>
      </c>
      <c r="B17" s="4" t="s">
        <v>21</v>
      </c>
      <c r="C17" s="4" t="n">
        <f aca="false" ca="false" dt2D="false" dtr="false" t="normal">1980*1.2</f>
        <v>2376</v>
      </c>
      <c r="D17" s="4" t="n">
        <f aca="false" ca="false" dt2D="false" dtr="false" t="normal">1980*1.2</f>
        <v>2376</v>
      </c>
      <c r="E17" s="4" t="n">
        <f aca="false" ca="false" dt2D="false" dtr="false" t="normal">1320*1.2</f>
        <v>1584</v>
      </c>
      <c r="F17" s="4" t="n">
        <f aca="false" ca="false" dt2D="false" dtr="false" t="normal">1440*1.2</f>
        <v>1728</v>
      </c>
      <c r="G17" s="5" t="n"/>
      <c r="H17" s="5" t="n"/>
      <c r="K17" t="n"/>
      <c r="L17" t="n"/>
      <c r="M17" t="n"/>
      <c r="N17" t="n"/>
    </row>
    <row outlineLevel="0" r="18">
      <c r="A18" s="4" t="s">
        <v>6</v>
      </c>
      <c r="B18" s="4" t="s">
        <v>22</v>
      </c>
      <c r="C18" s="4" t="n">
        <f aca="false" ca="false" dt2D="false" dtr="false" t="normal">2520*1.2</f>
        <v>3024</v>
      </c>
      <c r="D18" s="4" t="n">
        <f aca="false" ca="false" dt2D="false" dtr="false" t="normal">2400*1.2</f>
        <v>2880</v>
      </c>
      <c r="E18" s="5" t="n"/>
      <c r="F18" s="5" t="n"/>
      <c r="G18" s="5" t="n"/>
      <c r="H18" s="5" t="n"/>
      <c r="K18" t="n"/>
      <c r="L18" t="n"/>
      <c r="M18" t="n"/>
      <c r="N18" t="n"/>
    </row>
    <row outlineLevel="0" r="19">
      <c r="A19" s="4" t="s">
        <v>6</v>
      </c>
      <c r="B19" s="4" t="s">
        <v>23</v>
      </c>
      <c r="C19" s="4" t="n">
        <f aca="false" ca="false" dt2D="false" dtr="false" t="normal">2460*1.2</f>
        <v>2952</v>
      </c>
      <c r="D19" s="4" t="n">
        <f aca="false" ca="false" dt2D="false" dtr="false" t="normal">2340*1.2</f>
        <v>2808</v>
      </c>
      <c r="E19" s="5" t="n"/>
      <c r="F19" s="5" t="n"/>
      <c r="G19" s="5" t="n"/>
      <c r="H19" s="5" t="n"/>
      <c r="K19" t="n"/>
      <c r="L19" t="n"/>
      <c r="M19" t="n"/>
      <c r="N19" t="n"/>
    </row>
    <row outlineLevel="0" r="20">
      <c r="A20" s="4" t="s">
        <v>6</v>
      </c>
      <c r="B20" s="4" t="s">
        <v>24</v>
      </c>
      <c r="C20" s="4" t="n">
        <f aca="false" ca="false" dt2D="false" dtr="false" t="normal">3600*1.2</f>
        <v>4320</v>
      </c>
      <c r="D20" s="4" t="n">
        <f aca="false" ca="false" dt2D="false" dtr="false" t="normal">3360*1.2</f>
        <v>4032</v>
      </c>
      <c r="E20" s="5" t="n"/>
      <c r="F20" s="5" t="n"/>
      <c r="G20" s="5" t="n"/>
      <c r="H20" s="5" t="n"/>
      <c r="K20" t="n"/>
      <c r="L20" t="n"/>
      <c r="M20" t="n"/>
      <c r="N20" t="n"/>
    </row>
    <row outlineLevel="0" r="21">
      <c r="A21" s="4" t="s">
        <v>6</v>
      </c>
      <c r="B21" s="4" t="s">
        <v>25</v>
      </c>
      <c r="C21" s="4" t="n">
        <f aca="false" ca="false" dt2D="false" dtr="false" t="normal">4560*1.2</f>
        <v>5472</v>
      </c>
      <c r="D21" s="4" t="n">
        <f aca="false" ca="false" dt2D="false" dtr="false" t="normal">4320*1.2</f>
        <v>5184</v>
      </c>
      <c r="E21" s="5" t="n"/>
      <c r="F21" s="5" t="n"/>
      <c r="G21" s="5" t="n"/>
      <c r="H21" s="5" t="n"/>
      <c r="K21" t="n"/>
      <c r="L21" t="n"/>
      <c r="M21" t="n"/>
      <c r="N21" t="n"/>
    </row>
    <row outlineLevel="0" r="22">
      <c r="A22" s="4" t="s">
        <v>6</v>
      </c>
      <c r="B22" s="4" t="s">
        <v>26</v>
      </c>
      <c r="C22" s="4" t="n">
        <f aca="false" ca="false" dt2D="false" dtr="false" t="normal">1740*1.2</f>
        <v>2088</v>
      </c>
      <c r="D22" s="4" t="n">
        <f aca="false" ca="false" dt2D="false" dtr="false" t="normal">2040*1.2</f>
        <v>2448</v>
      </c>
      <c r="E22" s="4" t="n">
        <f aca="false" ca="false" dt2D="false" dtr="false" t="normal">1320*1.2</f>
        <v>1584</v>
      </c>
      <c r="F22" s="4" t="n">
        <f aca="false" ca="false" dt2D="false" dtr="false" t="normal">1620*1.2</f>
        <v>1944</v>
      </c>
      <c r="G22" s="4" t="n">
        <f aca="false" ca="false" dt2D="false" dtr="false" t="normal">1040*1.2</f>
        <v>1248</v>
      </c>
      <c r="H22" s="4" t="n">
        <f aca="false" ca="false" dt2D="false" dtr="false" t="normal">1320*1.2</f>
        <v>1584</v>
      </c>
      <c r="K22" t="n"/>
      <c r="L22" t="n"/>
      <c r="M22" t="n"/>
      <c r="N22" t="n"/>
    </row>
    <row outlineLevel="0" r="23">
      <c r="A23" s="4" t="s">
        <v>6</v>
      </c>
      <c r="B23" s="4" t="s">
        <v>27</v>
      </c>
      <c r="C23" s="4" t="n">
        <f aca="false" ca="false" dt2D="false" dtr="false" t="normal">1920*1.2</f>
        <v>2304</v>
      </c>
      <c r="D23" s="5" t="n"/>
      <c r="E23" s="5" t="n"/>
      <c r="F23" s="5" t="n"/>
      <c r="G23" s="5" t="n"/>
      <c r="H23" s="5" t="n"/>
      <c r="K23" t="n"/>
      <c r="L23" t="n"/>
      <c r="M23" t="n"/>
      <c r="N23" t="n"/>
    </row>
    <row outlineLevel="0" r="24">
      <c r="A24" s="4" t="s">
        <v>6</v>
      </c>
      <c r="B24" s="4" t="s">
        <v>28</v>
      </c>
      <c r="C24" s="4" t="n">
        <f aca="false" ca="false" dt2D="false" dtr="false" t="normal">2220*1.2</f>
        <v>2664</v>
      </c>
      <c r="D24" s="4" t="n">
        <f aca="false" ca="false" dt2D="false" dtr="false" t="normal">2520*1.2</f>
        <v>3024</v>
      </c>
      <c r="E24" s="4" t="n">
        <f aca="false" ca="false" dt2D="false" dtr="false" t="normal">1740*1.2</f>
        <v>2088</v>
      </c>
      <c r="F24" s="4" t="n">
        <f aca="false" ca="false" dt2D="false" dtr="false" t="normal">2040*1.2</f>
        <v>2448</v>
      </c>
      <c r="G24" s="5" t="n"/>
      <c r="H24" s="5" t="n"/>
      <c r="K24" t="n"/>
      <c r="L24" t="n"/>
      <c r="M24" t="n"/>
      <c r="N24" t="n"/>
    </row>
    <row outlineLevel="0" r="25">
      <c r="A25" s="4" t="s">
        <v>6</v>
      </c>
      <c r="B25" s="4" t="s">
        <v>29</v>
      </c>
      <c r="C25" s="4" t="n">
        <f aca="false" ca="false" dt2D="false" dtr="false" t="normal">1980*1.2</f>
        <v>2376</v>
      </c>
      <c r="D25" s="4" t="n">
        <f aca="false" ca="false" dt2D="false" dtr="false" t="normal">2340*1.2</f>
        <v>2808</v>
      </c>
      <c r="E25" s="5" t="n"/>
      <c r="F25" s="5" t="n"/>
      <c r="G25" s="5" t="n"/>
      <c r="H25" s="5" t="n"/>
      <c r="K25" t="n"/>
      <c r="L25" t="n"/>
      <c r="M25" t="n"/>
      <c r="N25" t="n"/>
    </row>
    <row outlineLevel="0" r="26">
      <c r="A26" s="4" t="s">
        <v>6</v>
      </c>
      <c r="B26" s="4" t="s">
        <v>30</v>
      </c>
      <c r="C26" s="4" t="n">
        <f aca="false" ca="false" dt2D="false" dtr="false" t="normal">2520*1.2</f>
        <v>3024</v>
      </c>
      <c r="D26" s="4" t="n">
        <f aca="false" ca="false" dt2D="false" dtr="false" t="normal">2700*1.2</f>
        <v>3240</v>
      </c>
      <c r="E26" s="5" t="n"/>
      <c r="F26" s="5" t="n"/>
      <c r="G26" s="5" t="n"/>
      <c r="H26" s="5" t="n"/>
      <c r="K26" t="n"/>
      <c r="L26" t="n"/>
      <c r="M26" t="n"/>
      <c r="N26" t="n"/>
    </row>
    <row outlineLevel="0" r="27">
      <c r="A27" s="4" t="s">
        <v>6</v>
      </c>
      <c r="B27" s="4" t="s">
        <v>31</v>
      </c>
      <c r="C27" s="4" t="n">
        <f aca="false" ca="false" dt2D="false" dtr="false" t="normal">3420*1.2</f>
        <v>4104</v>
      </c>
      <c r="D27" s="4" t="n">
        <f aca="false" ca="false" dt2D="false" dtr="false" t="normal">3300*1.2</f>
        <v>3960</v>
      </c>
      <c r="E27" s="5" t="n"/>
      <c r="F27" s="5" t="n"/>
      <c r="G27" s="5" t="n"/>
      <c r="H27" s="5" t="n"/>
      <c r="K27" t="n"/>
      <c r="L27" t="n"/>
      <c r="M27" t="n"/>
      <c r="N27" t="n"/>
    </row>
    <row outlineLevel="0" r="28">
      <c r="A28" s="4" t="s">
        <v>6</v>
      </c>
      <c r="B28" s="4" t="s">
        <v>32</v>
      </c>
      <c r="C28" s="4" t="n">
        <f aca="false" ca="false" dt2D="false" dtr="false" t="normal">3300*1.2</f>
        <v>3960</v>
      </c>
      <c r="D28" s="4" t="n">
        <f aca="false" ca="false" dt2D="false" dtr="false" t="normal">3240*1.2</f>
        <v>3888</v>
      </c>
      <c r="E28" s="5" t="n"/>
      <c r="F28" s="5" t="n"/>
      <c r="G28" s="5" t="n"/>
      <c r="H28" s="5" t="n"/>
      <c r="K28" t="n"/>
      <c r="L28" t="n"/>
      <c r="M28" t="n"/>
      <c r="N28" t="n"/>
    </row>
    <row outlineLevel="0" r="29">
      <c r="A29" s="4" t="s">
        <v>6</v>
      </c>
      <c r="B29" s="4" t="s">
        <v>33</v>
      </c>
      <c r="C29" s="4" t="n">
        <f aca="false" ca="false" dt2D="false" dtr="false" t="normal">4920*1.2</f>
        <v>5904</v>
      </c>
      <c r="D29" s="4" t="n">
        <f aca="false" ca="false" dt2D="false" dtr="false" t="normal">4740*1.2</f>
        <v>5688</v>
      </c>
      <c r="E29" s="5" t="n"/>
      <c r="F29" s="5" t="n"/>
      <c r="G29" s="5" t="n"/>
      <c r="H29" s="5" t="n"/>
      <c r="K29" t="n"/>
      <c r="L29" t="n"/>
      <c r="M29" t="n"/>
      <c r="N29" t="n"/>
    </row>
    <row outlineLevel="0" r="30">
      <c r="A30" s="4" t="s">
        <v>6</v>
      </c>
      <c r="B30" s="4" t="s">
        <v>34</v>
      </c>
      <c r="C30" s="4" t="n">
        <f aca="false" ca="false" dt2D="false" dtr="false" t="normal">3360*1.2</f>
        <v>4032</v>
      </c>
      <c r="D30" s="4" t="n">
        <f aca="false" ca="false" dt2D="false" dtr="false" t="normal">3180*1.2</f>
        <v>3816</v>
      </c>
      <c r="E30" s="5" t="n"/>
      <c r="F30" s="5" t="n"/>
      <c r="G30" s="5" t="n"/>
      <c r="H30" s="5" t="n"/>
      <c r="K30" t="n"/>
      <c r="L30" t="n"/>
      <c r="M30" t="n"/>
      <c r="N30" t="n"/>
    </row>
    <row outlineLevel="0" r="31">
      <c r="A31" s="4" t="s">
        <v>6</v>
      </c>
      <c r="B31" s="4" t="s">
        <v>35</v>
      </c>
      <c r="C31" s="4" t="n">
        <f aca="false" ca="false" dt2D="false" dtr="false" t="normal">1620*1.2</f>
        <v>1944</v>
      </c>
      <c r="D31" s="4" t="n">
        <f aca="false" ca="false" dt2D="false" dtr="false" t="normal">1500*1.2</f>
        <v>1800</v>
      </c>
      <c r="E31" s="5" t="n"/>
      <c r="F31" s="5" t="n"/>
      <c r="G31" s="5" t="n"/>
      <c r="H31" s="5" t="n"/>
      <c r="K31" t="n"/>
      <c r="L31" t="n"/>
      <c r="M31" t="n"/>
      <c r="N31" t="n"/>
    </row>
    <row outlineLevel="0" r="32">
      <c r="A32" s="4" t="s">
        <v>6</v>
      </c>
      <c r="B32" s="4" t="s">
        <v>36</v>
      </c>
      <c r="C32" s="5" t="n"/>
      <c r="D32" s="4" t="n">
        <f aca="false" ca="false" dt2D="false" dtr="false" t="normal">2700*1.2</f>
        <v>3240</v>
      </c>
      <c r="E32" s="5" t="n"/>
      <c r="F32" s="5" t="n"/>
      <c r="G32" s="5" t="n"/>
      <c r="H32" s="5" t="n"/>
      <c r="K32" t="n"/>
      <c r="L32" t="n"/>
      <c r="M32" t="n"/>
      <c r="N32" t="n"/>
    </row>
    <row outlineLevel="0" r="33">
      <c r="A33" s="4" t="s">
        <v>6</v>
      </c>
      <c r="B33" s="4" t="s">
        <v>37</v>
      </c>
      <c r="C33" s="4" t="n">
        <f aca="false" ca="false" dt2D="false" dtr="false" t="normal">3180*1.2</f>
        <v>3816</v>
      </c>
      <c r="D33" s="4" t="n">
        <f aca="false" ca="false" dt2D="false" dtr="false" t="normal">3060*1.2</f>
        <v>3672</v>
      </c>
      <c r="E33" s="5" t="n"/>
      <c r="F33" s="5" t="n"/>
      <c r="G33" s="5" t="n"/>
      <c r="H33" s="5" t="n"/>
      <c r="K33" t="n"/>
      <c r="L33" t="n"/>
      <c r="M33" t="n"/>
      <c r="N33" t="n"/>
    </row>
    <row outlineLevel="0" r="34">
      <c r="A34" s="4" t="s">
        <v>6</v>
      </c>
      <c r="B34" s="4" t="s">
        <v>38</v>
      </c>
      <c r="C34" s="4" t="n">
        <f aca="false" ca="false" dt2D="false" dtr="false" t="normal">2880*1.2</f>
        <v>3456</v>
      </c>
      <c r="D34" s="4" t="n">
        <f aca="false" ca="false" dt2D="false" dtr="false" t="normal">2760*1.2</f>
        <v>3312</v>
      </c>
      <c r="E34" s="5" t="n"/>
      <c r="F34" s="5" t="n"/>
      <c r="G34" s="5" t="n"/>
      <c r="H34" s="5" t="n"/>
      <c r="K34" t="n"/>
      <c r="L34" t="n"/>
      <c r="M34" t="n"/>
      <c r="N34" t="n"/>
    </row>
    <row outlineLevel="0" r="35">
      <c r="A35" s="4" t="s">
        <v>6</v>
      </c>
      <c r="B35" s="4" t="s">
        <v>39</v>
      </c>
      <c r="C35" s="4" t="n">
        <f aca="false" ca="false" dt2D="false" dtr="false" t="normal">3840*1.2</f>
        <v>4608</v>
      </c>
      <c r="D35" s="4" t="n">
        <f aca="false" ca="false" dt2D="false" dtr="false" t="normal">3600*1.2</f>
        <v>4320</v>
      </c>
      <c r="E35" s="5" t="n"/>
      <c r="F35" s="5" t="n"/>
      <c r="G35" s="5" t="n"/>
      <c r="H35" s="5" t="n"/>
      <c r="K35" t="n"/>
      <c r="L35" t="n"/>
      <c r="M35" t="n"/>
      <c r="N35" t="n"/>
    </row>
    <row outlineLevel="0" r="36">
      <c r="A36" s="4" t="s">
        <v>6</v>
      </c>
      <c r="B36" s="4" t="s">
        <v>40</v>
      </c>
      <c r="C36" s="4" t="n">
        <f aca="false" ca="false" dt2D="false" dtr="false" t="normal">3540*1.2</f>
        <v>4248</v>
      </c>
      <c r="D36" s="4" t="n">
        <f aca="false" ca="false" dt2D="false" dtr="false" t="normal">3360*1.2</f>
        <v>4032</v>
      </c>
      <c r="E36" s="5" t="n"/>
      <c r="F36" s="5" t="n"/>
      <c r="G36" s="5" t="n"/>
      <c r="H36" s="5" t="n"/>
      <c r="K36" t="n"/>
      <c r="L36" t="n"/>
      <c r="M36" t="n"/>
      <c r="N36" t="n"/>
    </row>
    <row outlineLevel="0" r="37">
      <c r="A37" s="4" t="s">
        <v>6</v>
      </c>
      <c r="B37" s="4" t="s">
        <v>41</v>
      </c>
      <c r="C37" s="4" t="n">
        <f aca="false" ca="false" dt2D="false" dtr="false" t="normal">1620*1.2</f>
        <v>1944</v>
      </c>
      <c r="D37" s="4" t="n">
        <f aca="false" ca="false" dt2D="false" dtr="false" t="normal">1620*1.2</f>
        <v>1944</v>
      </c>
      <c r="E37" s="5" t="n"/>
      <c r="F37" s="5" t="n"/>
      <c r="G37" s="5" t="n"/>
      <c r="H37" s="5" t="n"/>
      <c r="K37" t="n"/>
      <c r="L37" t="n"/>
      <c r="M37" t="n"/>
      <c r="N37" t="n"/>
    </row>
    <row outlineLevel="0" r="38">
      <c r="A38" s="4" t="s">
        <v>6</v>
      </c>
      <c r="B38" s="4" t="s">
        <v>42</v>
      </c>
      <c r="C38" s="4" t="n">
        <f aca="false" ca="false" dt2D="false" dtr="false" t="normal">1980*1.2</f>
        <v>2376</v>
      </c>
      <c r="D38" s="4" t="n">
        <f aca="false" ca="false" dt2D="false" dtr="false" t="normal">1860*1.2</f>
        <v>2232</v>
      </c>
      <c r="E38" s="5" t="n"/>
      <c r="F38" s="5" t="n"/>
      <c r="G38" s="5" t="n"/>
      <c r="H38" s="5" t="n"/>
      <c r="K38" t="n"/>
      <c r="L38" t="n"/>
      <c r="M38" t="n"/>
      <c r="N38" t="n"/>
    </row>
    <row outlineLevel="0" r="39">
      <c r="A39" s="4" t="s">
        <v>6</v>
      </c>
      <c r="B39" s="4" t="s">
        <v>43</v>
      </c>
      <c r="C39" s="4" t="n">
        <f aca="false" ca="false" dt2D="false" dtr="false" t="normal">3300*1.2</f>
        <v>3960</v>
      </c>
      <c r="D39" s="4" t="n">
        <f aca="false" ca="false" dt2D="false" dtr="false" t="normal">3180*1.2</f>
        <v>3816</v>
      </c>
      <c r="E39" s="5" t="n"/>
      <c r="F39" s="5" t="n"/>
      <c r="G39" s="5" t="n"/>
      <c r="H39" s="5" t="n"/>
      <c r="K39" t="n"/>
      <c r="L39" t="n"/>
      <c r="M39" t="n"/>
      <c r="N39" t="n"/>
    </row>
    <row outlineLevel="0" r="40">
      <c r="A40" s="4" t="s">
        <v>6</v>
      </c>
      <c r="B40" s="4" t="s">
        <v>44</v>
      </c>
      <c r="C40" s="4" t="n">
        <f aca="false" ca="false" dt2D="false" dtr="false" t="normal">6480*1.2</f>
        <v>7776</v>
      </c>
      <c r="D40" s="4" t="n">
        <f aca="false" ca="false" dt2D="false" dtr="false" t="normal">6240*1.2</f>
        <v>7488</v>
      </c>
      <c r="E40" s="5" t="n"/>
      <c r="F40" s="5" t="n"/>
      <c r="G40" s="5" t="n"/>
      <c r="H40" s="5" t="n"/>
      <c r="K40" t="n"/>
      <c r="L40" t="n"/>
      <c r="M40" t="n"/>
      <c r="N40" t="n"/>
    </row>
    <row outlineLevel="0" r="41">
      <c r="A41" s="4" t="s">
        <v>6</v>
      </c>
      <c r="B41" s="4" t="s">
        <v>45</v>
      </c>
      <c r="C41" s="4" t="n">
        <f aca="false" ca="false" dt2D="false" dtr="false" t="normal">660*1.2</f>
        <v>792</v>
      </c>
      <c r="D41" s="4" t="n">
        <f aca="false" ca="false" dt2D="false" dtr="false" t="normal">660*1.2</f>
        <v>792</v>
      </c>
      <c r="E41" s="5" t="n"/>
      <c r="F41" s="5" t="n"/>
      <c r="G41" s="5" t="n"/>
      <c r="H41" s="5" t="n"/>
      <c r="K41" t="n"/>
      <c r="L41" t="n"/>
      <c r="M41" t="n"/>
      <c r="N41" t="n"/>
    </row>
    <row outlineLevel="0" r="42">
      <c r="A42" s="4" t="s">
        <v>6</v>
      </c>
      <c r="B42" s="4" t="s">
        <v>46</v>
      </c>
      <c r="C42" s="4" t="n">
        <f aca="false" ca="false" dt2D="false" dtr="false" t="normal">780*1.2</f>
        <v>936</v>
      </c>
      <c r="D42" s="4" t="n">
        <f aca="false" ca="false" dt2D="false" dtr="false" t="normal">780*1.2</f>
        <v>936</v>
      </c>
      <c r="E42" s="5" t="n"/>
      <c r="F42" s="5" t="n"/>
      <c r="G42" s="5" t="n"/>
      <c r="H42" s="5" t="n"/>
      <c r="K42" t="n"/>
      <c r="L42" t="n"/>
      <c r="M42" t="n"/>
      <c r="N42" t="n"/>
    </row>
    <row outlineLevel="0" r="43">
      <c r="A43" s="4" t="s">
        <v>6</v>
      </c>
      <c r="B43" s="4" t="s">
        <v>47</v>
      </c>
      <c r="C43" s="4" t="n">
        <f aca="false" ca="false" dt2D="false" dtr="false" t="normal">1980*1.2</f>
        <v>2376</v>
      </c>
      <c r="D43" s="4" t="n">
        <f aca="false" ca="false" dt2D="false" dtr="false" t="normal">1740*1.2</f>
        <v>2088</v>
      </c>
      <c r="E43" s="5" t="n"/>
      <c r="F43" s="5" t="n"/>
      <c r="G43" s="5" t="n"/>
      <c r="H43" s="5" t="n"/>
      <c r="K43" t="n"/>
      <c r="L43" t="n"/>
      <c r="M43" t="n"/>
      <c r="N43" t="n"/>
    </row>
    <row outlineLevel="0" r="44">
      <c r="A44" s="4" t="s">
        <v>6</v>
      </c>
      <c r="B44" s="4" t="s">
        <v>48</v>
      </c>
      <c r="C44" s="4" t="n">
        <f aca="false" ca="false" dt2D="false" dtr="false" t="normal">3300*1.2</f>
        <v>3960</v>
      </c>
      <c r="D44" s="4" t="n">
        <f aca="false" ca="false" dt2D="false" dtr="false" t="normal">3180*1.2</f>
        <v>3816</v>
      </c>
      <c r="E44" s="5" t="n"/>
      <c r="F44" s="5" t="n"/>
      <c r="G44" s="5" t="n"/>
      <c r="H44" s="5" t="n"/>
      <c r="K44" t="n"/>
      <c r="L44" t="n"/>
      <c r="M44" t="n"/>
      <c r="N44" t="n"/>
    </row>
    <row outlineLevel="0" r="45">
      <c r="A45" s="4" t="s">
        <v>6</v>
      </c>
      <c r="B45" s="4" t="s">
        <v>49</v>
      </c>
      <c r="C45" s="4" t="n">
        <f aca="false" ca="false" dt2D="false" dtr="false" t="normal">4020*1.2</f>
        <v>4824</v>
      </c>
      <c r="D45" s="4" t="n">
        <f aca="false" ca="false" dt2D="false" dtr="false" t="normal">4320*1.2</f>
        <v>5184</v>
      </c>
      <c r="E45" s="5" t="n"/>
      <c r="F45" s="5" t="n"/>
      <c r="G45" s="5" t="n"/>
      <c r="H45" s="5" t="n"/>
      <c r="K45" t="n"/>
      <c r="L45" t="n"/>
      <c r="M45" t="n"/>
      <c r="N45" t="n"/>
    </row>
    <row outlineLevel="0" r="46">
      <c r="A46" s="6" t="s">
        <v>50</v>
      </c>
      <c r="B46" s="6" t="s">
        <v>51</v>
      </c>
      <c r="C46" s="4" t="n">
        <f aca="false" ca="false" dt2D="false" dtr="false" t="normal">180*1.2</f>
        <v>216</v>
      </c>
      <c r="D46" s="5" t="n"/>
      <c r="E46" s="5" t="n"/>
      <c r="F46" s="5" t="n"/>
      <c r="G46" s="5" t="n"/>
      <c r="H46" s="5" t="n"/>
      <c r="K46" t="n"/>
      <c r="L46" t="n"/>
      <c r="M46" t="n"/>
      <c r="N46" t="n"/>
    </row>
    <row outlineLevel="0" r="47">
      <c r="A47" s="6" t="s">
        <v>50</v>
      </c>
      <c r="B47" s="6" t="s">
        <v>52</v>
      </c>
      <c r="C47" s="4" t="n">
        <f aca="false" ca="false" dt2D="false" dtr="false" t="normal">240*1.2</f>
        <v>288</v>
      </c>
      <c r="D47" s="5" t="n"/>
      <c r="E47" s="5" t="n"/>
      <c r="F47" s="5" t="n"/>
      <c r="G47" s="5" t="n"/>
      <c r="H47" s="5" t="n"/>
      <c r="K47" t="n"/>
      <c r="L47" t="n"/>
      <c r="M47" t="n"/>
      <c r="N47" t="n"/>
    </row>
    <row outlineLevel="0" r="48">
      <c r="A48" s="6" t="s">
        <v>50</v>
      </c>
      <c r="B48" s="6" t="s">
        <v>53</v>
      </c>
      <c r="C48" s="4" t="n">
        <f aca="false" ca="false" dt2D="false" dtr="false" t="normal">300*1.2</f>
        <v>360</v>
      </c>
      <c r="D48" s="5" t="n"/>
      <c r="E48" s="5" t="n"/>
      <c r="F48" s="5" t="n"/>
      <c r="G48" s="5" t="n"/>
      <c r="H48" s="5" t="n"/>
      <c r="K48" t="n"/>
      <c r="L48" t="n"/>
      <c r="M48" t="n"/>
      <c r="N48" t="n"/>
    </row>
    <row outlineLevel="0" r="49">
      <c r="A49" s="6" t="s">
        <v>50</v>
      </c>
      <c r="B49" s="6" t="s">
        <v>54</v>
      </c>
      <c r="C49" s="4" t="n">
        <f aca="false" ca="false" dt2D="false" dtr="false" t="normal">360*1.2</f>
        <v>432</v>
      </c>
      <c r="D49" s="1" t="n"/>
      <c r="E49" s="5" t="n"/>
      <c r="F49" s="5" t="n"/>
      <c r="G49" s="5" t="n"/>
      <c r="H49" s="5" t="n"/>
      <c r="K49" t="n"/>
      <c r="L49" t="n"/>
      <c r="M49" t="n"/>
      <c r="N49" t="n"/>
    </row>
    <row outlineLevel="0" r="50">
      <c r="A50" s="6" t="s">
        <v>55</v>
      </c>
      <c r="B50" s="6" t="s">
        <v>56</v>
      </c>
      <c r="C50" s="4" t="n">
        <f aca="false" ca="false" dt2D="false" dtr="false" t="normal">170*1.2</f>
        <v>204</v>
      </c>
      <c r="D50" s="1" t="n"/>
      <c r="E50" s="5" t="n"/>
      <c r="F50" s="5" t="n"/>
      <c r="G50" s="5" t="n"/>
      <c r="H50" s="5" t="n"/>
      <c r="K50" t="n"/>
      <c r="L50" t="n"/>
      <c r="M50" t="n"/>
      <c r="N50" t="n"/>
    </row>
    <row outlineLevel="0" r="51">
      <c r="A51" s="6" t="s">
        <v>55</v>
      </c>
      <c r="B51" s="6" t="s">
        <v>57</v>
      </c>
      <c r="C51" s="4" t="n">
        <f aca="false" ca="false" dt2D="false" dtr="false" t="normal">290*1.2</f>
        <v>348</v>
      </c>
      <c r="D51" s="1" t="n"/>
      <c r="E51" s="5" t="n"/>
      <c r="F51" s="5" t="n"/>
      <c r="G51" s="5" t="n"/>
      <c r="H51" s="5" t="n"/>
      <c r="K51" t="n"/>
      <c r="L51" t="n"/>
      <c r="M51" t="n"/>
      <c r="N51" t="n"/>
    </row>
    <row outlineLevel="0" r="52">
      <c r="A52" s="6" t="s">
        <v>58</v>
      </c>
      <c r="B52" s="6" t="s">
        <v>59</v>
      </c>
      <c r="C52" s="4" t="n">
        <f aca="false" ca="false" dt2D="false" dtr="false" t="normal">115*1.2</f>
        <v>138</v>
      </c>
      <c r="D52" s="1" t="n"/>
      <c r="E52" s="5" t="n"/>
      <c r="F52" s="5" t="n"/>
      <c r="G52" s="5" t="n"/>
      <c r="H52" s="5" t="n"/>
      <c r="K52" t="n"/>
      <c r="L52" t="n"/>
      <c r="M52" t="n"/>
      <c r="N52" t="n"/>
    </row>
    <row outlineLevel="0" r="53">
      <c r="A53" s="6" t="s">
        <v>58</v>
      </c>
      <c r="B53" s="6" t="s">
        <v>60</v>
      </c>
      <c r="C53" s="4" t="n">
        <f aca="false" ca="false" dt2D="false" dtr="false" t="normal">80*1.2</f>
        <v>96</v>
      </c>
      <c r="D53" s="1" t="n"/>
      <c r="E53" s="5" t="n"/>
      <c r="F53" s="5" t="n"/>
      <c r="G53" s="5" t="n"/>
      <c r="H53" s="5" t="n"/>
      <c r="K53" t="n"/>
      <c r="L53" t="n"/>
      <c r="M53" t="n"/>
      <c r="N53" t="n"/>
    </row>
    <row outlineLevel="0" r="54">
      <c r="A54" s="6" t="s">
        <v>58</v>
      </c>
      <c r="B54" s="6" t="s">
        <v>61</v>
      </c>
      <c r="C54" s="4" t="n">
        <f aca="false" ca="false" dt2D="false" dtr="false" t="normal">400*1.2</f>
        <v>480</v>
      </c>
      <c r="D54" s="1" t="n"/>
      <c r="E54" s="5" t="n"/>
      <c r="F54" s="5" t="n"/>
      <c r="G54" s="5" t="n"/>
      <c r="H54" s="5" t="n"/>
      <c r="K54" t="n"/>
      <c r="L54" t="n"/>
      <c r="M54" t="n"/>
      <c r="N54" t="n"/>
    </row>
    <row outlineLevel="0" r="55">
      <c r="A55" s="6" t="s">
        <v>58</v>
      </c>
      <c r="B55" s="6" t="s">
        <v>62</v>
      </c>
      <c r="C55" s="4" t="n">
        <f aca="false" ca="false" dt2D="false" dtr="false" t="normal">250*1.2</f>
        <v>300</v>
      </c>
      <c r="D55" s="1" t="n"/>
      <c r="E55" s="5" t="n"/>
      <c r="F55" s="5" t="n"/>
      <c r="G55" s="5" t="n"/>
      <c r="H55" s="5" t="n"/>
      <c r="K55" t="n"/>
      <c r="L55" t="n"/>
      <c r="M55" t="n"/>
      <c r="N55" t="n"/>
    </row>
    <row outlineLevel="0" r="56">
      <c r="A56" s="6" t="s">
        <v>63</v>
      </c>
      <c r="B56" s="6" t="s">
        <v>64</v>
      </c>
      <c r="C56" s="5" t="n"/>
      <c r="D56" s="1" t="n"/>
      <c r="E56" s="5" t="n"/>
      <c r="F56" s="5" t="n"/>
      <c r="G56" s="4" t="n">
        <f aca="false" ca="false" dt2D="false" dtr="false" t="normal">1100*1.2</f>
        <v>1320</v>
      </c>
      <c r="H56" s="5" t="n"/>
      <c r="K56" t="n"/>
      <c r="L56" t="n"/>
      <c r="M56" t="n"/>
      <c r="N56" t="n"/>
    </row>
    <row outlineLevel="0" r="57">
      <c r="A57" s="6" t="s">
        <v>65</v>
      </c>
      <c r="B57" s="6" t="s">
        <v>66</v>
      </c>
      <c r="C57" s="5" t="n"/>
      <c r="D57" s="1" t="n"/>
      <c r="E57" s="5" t="n"/>
      <c r="F57" s="5" t="n"/>
      <c r="G57" s="4" t="n">
        <f aca="false" ca="false" dt2D="false" dtr="false" t="normal">2800*1.2</f>
        <v>3360</v>
      </c>
      <c r="H57" s="5" t="n"/>
      <c r="K57" t="n"/>
      <c r="L57" t="n"/>
      <c r="M57" t="n"/>
      <c r="N57" t="n"/>
    </row>
    <row outlineLevel="0" r="58">
      <c r="A58" s="6" t="s">
        <v>65</v>
      </c>
      <c r="B58" s="6" t="s">
        <v>67</v>
      </c>
      <c r="C58" s="5" t="n"/>
      <c r="D58" s="1" t="n"/>
      <c r="E58" s="5" t="n"/>
      <c r="F58" s="5" t="n"/>
      <c r="G58" s="4" t="n">
        <f aca="false" ca="false" dt2D="false" dtr="false" t="normal">1600*1.2</f>
        <v>1920</v>
      </c>
      <c r="H58" s="5" t="n"/>
      <c r="K58" t="n"/>
      <c r="L58" t="n"/>
      <c r="M58" t="n"/>
      <c r="N58" t="n"/>
    </row>
    <row outlineLevel="0" r="59">
      <c r="A59" s="6" t="s">
        <v>65</v>
      </c>
      <c r="B59" s="6" t="s">
        <v>68</v>
      </c>
      <c r="C59" s="5" t="n"/>
      <c r="D59" s="1" t="n"/>
      <c r="E59" s="5" t="n"/>
      <c r="F59" s="5" t="n"/>
      <c r="G59" s="4" t="n">
        <f aca="false" ca="false" dt2D="false" dtr="false" t="normal">2500*1.2</f>
        <v>3000</v>
      </c>
      <c r="H59" s="5" t="n"/>
      <c r="K59" t="n"/>
      <c r="L59" t="n"/>
      <c r="M59" t="n"/>
      <c r="N59" t="n"/>
    </row>
  </sheetData>
  <mergeCells count="3">
    <mergeCell ref="E1:F1"/>
    <mergeCell ref="C1:D1"/>
    <mergeCell ref="G1:H1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2025-12-25T05:51:06Z</dcterms:modified>
</cp:coreProperties>
</file>